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riqnoma" sheetId="1" state="visible" r:id="rId1"/>
    <sheet xmlns:r="http://schemas.openxmlformats.org/officeDocument/2006/relationships" name="Royxat" sheetId="2" state="visible" r:id="rId2"/>
    <sheet xmlns:r="http://schemas.openxmlformats.org/officeDocument/2006/relationships" name="A_kirish" sheetId="3" state="visible" r:id="rId3"/>
    <sheet xmlns:r="http://schemas.openxmlformats.org/officeDocument/2006/relationships" name="Amaliy" sheetId="4" state="visible" r:id="rId4"/>
    <sheet xmlns:r="http://schemas.openxmlformats.org/officeDocument/2006/relationships" name="B_yakuniy" sheetId="5" state="visible" r:id="rId5"/>
    <sheet xmlns:r="http://schemas.openxmlformats.org/officeDocument/2006/relationships" name="Solishtirish" sheetId="6" state="visible" r:id="rId6"/>
    <sheet xmlns:r="http://schemas.openxmlformats.org/officeDocument/2006/relationships" name="Xarita" sheetId="7" state="visible" r:id="rId7"/>
    <sheet xmlns:r="http://schemas.openxmlformats.org/officeDocument/2006/relationships" name="Darajala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/>
    <font>
      <b val="1"/>
      <sz val="14"/>
    </font>
    <font>
      <i val="1"/>
      <color rgb="00666666"/>
    </font>
    <font>
      <b val="1"/>
      <sz val="12"/>
    </font>
    <font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EF3FA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/>
    </xf>
    <xf numFmtId="0" fontId="2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2" fillId="0" borderId="1" pivotButton="0" quotePrefix="0" xfId="0"/>
    <xf numFmtId="0" fontId="2" fillId="9" borderId="0" applyAlignment="1" pivotButton="0" quotePrefix="0" xfId="0">
      <alignment horizontal="center"/>
    </xf>
    <xf numFmtId="0" fontId="8" fillId="0" borderId="1" pivotButton="0" quotePrefix="0" xfId="0"/>
    <xf numFmtId="0" fontId="7" fillId="0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Bo‘limlar bo‘yicha sinf o‘rtachasi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'Solishtirish'!V29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'Solishtirish'!$U$30:$U$35</f>
            </numRef>
          </cat>
          <val>
            <numRef>
              <f>'Solishtirish'!$V$30:$V$35</f>
            </numRef>
          </val>
        </ser>
        <ser>
          <idx val="1"/>
          <order val="1"/>
          <tx>
            <strRef>
              <f>'Solishtirish'!W29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'Solishtirish'!$U$30:$U$35</f>
            </numRef>
          </cat>
          <val>
            <numRef>
              <f>'Solishtirish'!$W$30:$W$35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Darajalar taqsimoti (o‘quvchilar soni)</a:t>
            </a:r>
          </a:p>
        </rich>
      </tx>
    </title>
    <plotArea>
      <barChart>
        <barDir val="col"/>
        <grouping val="clustered"/>
        <ser>
          <idx val="0"/>
          <order val="0"/>
          <tx>
            <v>Oktabr (A)</v>
          </tx>
          <spPr>
            <a:ln xmlns:a="http://schemas.openxmlformats.org/drawingml/2006/main">
              <a:prstDash val="solid"/>
            </a:ln>
          </spPr>
          <cat>
            <numRef>
              <f>'Solishtirish'!$U$13:$U$16</f>
            </numRef>
          </cat>
          <val>
            <numRef>
              <f>'Solishtirish'!$V$13:$V$16</f>
            </numRef>
          </val>
        </ser>
        <ser>
          <idx val="1"/>
          <order val="1"/>
          <tx>
            <v>Yanvar (B)</v>
          </tx>
          <spPr>
            <a:ln xmlns:a="http://schemas.openxmlformats.org/drawingml/2006/main">
              <a:prstDash val="solid"/>
            </a:ln>
          </spPr>
          <cat>
            <numRef>
              <f>'Solishtirish'!$U$13:$U$16</f>
            </numRef>
          </cat>
          <val>
            <numRef>
              <f>'Solishtirish'!$W$13:$W$16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20</col>
      <colOff>0</colOff>
      <row>36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20</col>
      <colOff>0</colOff>
      <row>53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7A — monitoring jadvali (Informatika)</t>
        </is>
      </c>
    </row>
    <row r="2">
      <c r="A2" t="inlineStr"/>
    </row>
    <row r="3">
      <c r="A3" s="2" t="inlineStr">
        <is>
          <t>Qanday ishlatish:</t>
        </is>
      </c>
    </row>
    <row r="4">
      <c r="A4" t="inlineStr">
        <is>
          <t>1. «Royxat» varag‘iga o‘quvchilar ism-familiyasini yozing (boshqa varaqlarga o‘zi o‘tadi).</t>
        </is>
      </c>
    </row>
    <row r="5">
      <c r="A5" t="inlineStr">
        <is>
          <t>2. «A_kirish» — oktabrdagi kirish testi: har bir savolga o‘quvchi belgilagan harfni (A/B/C/D) yozing.</t>
        </is>
      </c>
    </row>
    <row r="6">
      <c r="A6" t="inlineStr">
        <is>
          <t>3. «Amaliy» — amaliy topshiriq: har topshiriqqa 0, 1 yoki 2 ball (oktabr va yanvar ustunlari).</t>
        </is>
      </c>
    </row>
    <row r="7">
      <c r="A7" t="inlineStr">
        <is>
          <t>4. «B_yakuniy» — yanvardagi yakuniy test (B variant): xuddi shunday.</t>
        </is>
      </c>
    </row>
    <row r="8">
      <c r="A8" t="inlineStr">
        <is>
          <t>5. «Solishtirish» — avtomatik: o‘sish (Δ), normallashtirilgan o‘sish (g), daraja o‘zgarishi, sinf xulosasi va diagrammalar.</t>
        </is>
      </c>
    </row>
    <row r="9">
      <c r="A9" t="inlineStr">
        <is>
          <t>6. «Xarita» — kompyuter xonasidagi o‘tirish xaritasi (ism yodlash uchun).</t>
        </is>
      </c>
    </row>
    <row r="10">
      <c r="A10" t="inlineStr">
        <is>
          <t>7. «Darajalar» — chegaralar (85 / 65 / 45). O‘zgartirsangiz, hamma joyda qayta hisoblanadi.</t>
        </is>
      </c>
    </row>
    <row r="11">
      <c r="A11" t="inlineStr"/>
    </row>
    <row r="12">
      <c r="A12" s="2" t="inlineStr">
        <is>
          <t>Muhim:</t>
        </is>
      </c>
    </row>
    <row r="13">
      <c r="A13" t="inlineStr">
        <is>
          <t>• Saytda test o‘tkazgan bo‘lsangiz: admin → «CSV» → Q01…Q30 ustunlarini nusxalab, «A_kirish» ning C6 katagidan joylashtiring.</t>
        </is>
      </c>
    </row>
    <row r="14">
      <c r="A14" t="inlineStr">
        <is>
          <t>• Qoidalar va talqin: 10_tahlil_va_darajalar.md.</t>
        </is>
      </c>
    </row>
    <row r="15">
      <c r="A15" t="inlineStr">
        <is>
          <t>• Bu fayl ism-familiyalar bilan to‘ldirilgach SHAXSIY hujjat — ochiq joyga (GitHub, umumiy guruh) yuklamang.</t>
        </is>
      </c>
    </row>
    <row r="16">
      <c r="A16" t="inlineStr">
        <is>
          <t>• Yanvargacha zaxira nusxasini saqlang (fleshka / Google Drive).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18" customWidth="1" min="3" max="3"/>
    <col width="10" customWidth="1" min="4" max="4"/>
    <col width="11" customWidth="1" min="5" max="5"/>
    <col width="22" customWidth="1" min="6" max="6"/>
    <col width="34" customWidth="1" min="7" max="7"/>
    <col width="24" customWidth="1" min="8" max="8"/>
    <col width="11" customWidth="1" min="9" max="9"/>
    <col width="34" customWidth="1" min="10" max="10"/>
  </cols>
  <sheetData>
    <row r="1">
      <c r="A1" s="3" t="inlineStr">
        <is>
          <t>№</t>
        </is>
      </c>
      <c r="B1" s="3" t="inlineStr">
        <is>
          <t>F.I.Sh.</t>
        </is>
      </c>
      <c r="C1" s="3" t="inlineStr">
        <is>
          <t>Laqab (qanday chaqirish)</t>
        </is>
      </c>
      <c r="D1" s="3" t="inlineStr">
        <is>
          <t>Guruh (1/2)</t>
        </is>
      </c>
      <c r="E1" s="3" t="inlineStr">
        <is>
          <t>Kompyuter №</t>
        </is>
      </c>
      <c r="F1" s="3" t="inlineStr">
        <is>
          <t>Qiziqishi</t>
        </is>
      </c>
      <c r="G1" s="3" t="inlineStr">
        <is>
          <t>Sinf rahbari izohi</t>
        </is>
      </c>
      <c r="H1" s="3" t="inlineStr">
        <is>
          <t>Ota-ona javobi</t>
        </is>
      </c>
      <c r="I1" s="3" t="inlineStr">
        <is>
          <t>Kuzatuv (1–3)</t>
        </is>
      </c>
      <c r="J1" s="3" t="inlineStr">
        <is>
          <t>Izoh</t>
        </is>
      </c>
    </row>
    <row r="2">
      <c r="A2" s="4" t="n">
        <v>1</v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4" t="n">
        <v>2</v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4" t="n">
        <v>3</v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n">
        <v>4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n">
        <v>5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>
        <v>6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>
        <v>7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>
        <v>8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>
        <v>9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>
        <v>10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>
        <v>11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>
        <v>12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>
        <v>13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>
        <v>14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>
        <v>15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>
        <v>16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>
        <v>17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>
        <v>18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>
        <v>19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>
        <v>20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>
        <v>21</v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>
        <v>22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>
        <v>23</v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>
        <v>24</v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>
        <v>25</v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>
        <v>26</v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>
        <v>27</v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>
        <v>28</v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>
        <v>29</v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>
        <v>30</v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>
        <v>31</v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>
        <v>32</v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>
        <v>33</v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>
        <v>34</v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>
        <v>35</v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4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14" customWidth="1" min="43" max="43"/>
    <col width="9" customWidth="1" min="44" max="44"/>
    <col width="14" customWidth="1" min="45" max="45"/>
    <col width="14" customWidth="1" min="46" max="46"/>
  </cols>
  <sheetData>
    <row r="1">
      <c r="A1" s="5" t="inlineStr">
        <is>
          <t>7A — Kirish (diagnostik) testi — A variant</t>
        </is>
      </c>
    </row>
    <row r="2">
      <c r="A2" s="6" t="inlineStr">
        <is>
          <t>Har bir o‘quvchi qatoriga u belgilagan harfni (A/B/C/D) yozing. Bo‘sh katak = javob bermagan. Sariq qatordagi kalitni o‘zgartirmang. Kulrang ustunlar avtomatik hisoblanadi.</t>
        </is>
      </c>
    </row>
    <row r="3">
      <c r="C3" s="3" t="inlineStr">
        <is>
          <t>S1</t>
        </is>
      </c>
      <c r="D3" s="3" t="n"/>
      <c r="E3" s="3" t="n"/>
      <c r="F3" s="3" t="n"/>
      <c r="G3" s="3" t="n"/>
      <c r="H3" s="3" t="inlineStr">
        <is>
          <t>S2</t>
        </is>
      </c>
      <c r="I3" s="3" t="n"/>
      <c r="J3" s="3" t="n"/>
      <c r="K3" s="3" t="n"/>
      <c r="L3" s="3" t="n"/>
      <c r="M3" s="3" t="inlineStr">
        <is>
          <t>S3</t>
        </is>
      </c>
      <c r="N3" s="3" t="n"/>
      <c r="O3" s="3" t="n"/>
      <c r="P3" s="3" t="n"/>
      <c r="Q3" s="3" t="n"/>
      <c r="R3" s="3" t="inlineStr">
        <is>
          <t>S4</t>
        </is>
      </c>
      <c r="S3" s="3" t="n"/>
      <c r="T3" s="3" t="n"/>
      <c r="U3" s="3" t="n"/>
      <c r="V3" s="3" t="n"/>
      <c r="W3" s="3" t="inlineStr">
        <is>
          <t>S5</t>
        </is>
      </c>
      <c r="X3" s="3" t="n"/>
      <c r="Y3" s="3" t="n"/>
      <c r="Z3" s="3" t="n"/>
      <c r="AA3" s="3" t="n"/>
      <c r="AB3" s="3" t="inlineStr">
        <is>
          <t>S6</t>
        </is>
      </c>
      <c r="AC3" s="3" t="n"/>
      <c r="AD3" s="3" t="n"/>
      <c r="AE3" s="3" t="n"/>
      <c r="AF3" s="3" t="n"/>
    </row>
    <row r="4" ht="30" customHeight="1">
      <c r="A4" s="3" t="inlineStr">
        <is>
          <t>№</t>
        </is>
      </c>
      <c r="B4" s="3" t="inlineStr">
        <is>
          <t>F.I.Sh.</t>
        </is>
      </c>
      <c r="C4" s="3" t="n">
        <v>1</v>
      </c>
      <c r="D4" s="3" t="n">
        <v>2</v>
      </c>
      <c r="E4" s="3" t="n">
        <v>3</v>
      </c>
      <c r="F4" s="3" t="n">
        <v>4</v>
      </c>
      <c r="G4" s="3" t="n">
        <v>5</v>
      </c>
      <c r="H4" s="3" t="n">
        <v>6</v>
      </c>
      <c r="I4" s="3" t="n">
        <v>7</v>
      </c>
      <c r="J4" s="3" t="n">
        <v>8</v>
      </c>
      <c r="K4" s="3" t="n">
        <v>9</v>
      </c>
      <c r="L4" s="3" t="n">
        <v>10</v>
      </c>
      <c r="M4" s="3" t="n">
        <v>11</v>
      </c>
      <c r="N4" s="3" t="n">
        <v>12</v>
      </c>
      <c r="O4" s="3" t="n">
        <v>13</v>
      </c>
      <c r="P4" s="3" t="n">
        <v>14</v>
      </c>
      <c r="Q4" s="3" t="n">
        <v>15</v>
      </c>
      <c r="R4" s="3" t="n">
        <v>16</v>
      </c>
      <c r="S4" s="3" t="n">
        <v>17</v>
      </c>
      <c r="T4" s="3" t="n">
        <v>18</v>
      </c>
      <c r="U4" s="3" t="n">
        <v>19</v>
      </c>
      <c r="V4" s="3" t="n">
        <v>20</v>
      </c>
      <c r="W4" s="3" t="n">
        <v>21</v>
      </c>
      <c r="X4" s="3" t="n">
        <v>22</v>
      </c>
      <c r="Y4" s="3" t="n">
        <v>23</v>
      </c>
      <c r="Z4" s="3" t="n">
        <v>24</v>
      </c>
      <c r="AA4" s="3" t="n">
        <v>25</v>
      </c>
      <c r="AB4" s="3" t="n">
        <v>26</v>
      </c>
      <c r="AC4" s="3" t="n">
        <v>27</v>
      </c>
      <c r="AD4" s="3" t="n">
        <v>28</v>
      </c>
      <c r="AE4" s="3" t="n">
        <v>29</v>
      </c>
      <c r="AF4" s="3" t="n">
        <v>30</v>
      </c>
      <c r="AG4" s="3" t="inlineStr">
        <is>
          <t>S1</t>
        </is>
      </c>
      <c r="AH4" s="3" t="inlineStr">
        <is>
          <t>S2</t>
        </is>
      </c>
      <c r="AI4" s="3" t="inlineStr">
        <is>
          <t>S3</t>
        </is>
      </c>
      <c r="AJ4" s="3" t="inlineStr">
        <is>
          <t>S4</t>
        </is>
      </c>
      <c r="AK4" s="3" t="inlineStr">
        <is>
          <t>S5</t>
        </is>
      </c>
      <c r="AL4" s="3" t="inlineStr">
        <is>
          <t>S6</t>
        </is>
      </c>
      <c r="AM4" s="3" t="inlineStr">
        <is>
          <t>Tayanch %</t>
        </is>
      </c>
      <c r="AN4" s="3" t="inlineStr">
        <is>
          <t>7-sinf %</t>
        </is>
      </c>
      <c r="AO4" s="3" t="inlineStr">
        <is>
          <t>Ball (30)</t>
        </is>
      </c>
      <c r="AP4" s="3" t="inlineStr">
        <is>
          <t>Jami %</t>
        </is>
      </c>
      <c r="AQ4" s="3" t="inlineStr">
        <is>
          <t>Daraja</t>
        </is>
      </c>
      <c r="AR4" s="3" t="inlineStr">
        <is>
          <t>10 ball</t>
        </is>
      </c>
      <c r="AS4" s="3" t="inlineStr">
        <is>
          <t>7-sinfga moslik</t>
        </is>
      </c>
      <c r="AT4" s="3" t="inlineStr">
        <is>
          <t>Guruh (taklif)</t>
        </is>
      </c>
    </row>
    <row r="5">
      <c r="B5" s="2" t="inlineStr">
        <is>
          <t>KALIT →</t>
        </is>
      </c>
      <c r="C5" s="7" t="inlineStr">
        <is>
          <t>B</t>
        </is>
      </c>
      <c r="D5" s="7" t="inlineStr">
        <is>
          <t>D</t>
        </is>
      </c>
      <c r="E5" s="7" t="inlineStr">
        <is>
          <t>C</t>
        </is>
      </c>
      <c r="F5" s="7" t="inlineStr">
        <is>
          <t>B</t>
        </is>
      </c>
      <c r="G5" s="7" t="inlineStr">
        <is>
          <t>A</t>
        </is>
      </c>
      <c r="H5" s="7" t="inlineStr">
        <is>
          <t>D</t>
        </is>
      </c>
      <c r="I5" s="7" t="inlineStr">
        <is>
          <t>C</t>
        </is>
      </c>
      <c r="J5" s="7" t="inlineStr">
        <is>
          <t>C</t>
        </is>
      </c>
      <c r="K5" s="7" t="inlineStr">
        <is>
          <t>A</t>
        </is>
      </c>
      <c r="L5" s="7" t="inlineStr">
        <is>
          <t>B</t>
        </is>
      </c>
      <c r="M5" s="7" t="inlineStr">
        <is>
          <t>D</t>
        </is>
      </c>
      <c r="N5" s="7" t="inlineStr">
        <is>
          <t>A</t>
        </is>
      </c>
      <c r="O5" s="7" t="inlineStr">
        <is>
          <t>C</t>
        </is>
      </c>
      <c r="P5" s="7" t="inlineStr">
        <is>
          <t>A</t>
        </is>
      </c>
      <c r="Q5" s="7" t="inlineStr">
        <is>
          <t>C</t>
        </is>
      </c>
      <c r="R5" s="7" t="inlineStr">
        <is>
          <t>A</t>
        </is>
      </c>
      <c r="S5" s="7" t="inlineStr">
        <is>
          <t>B</t>
        </is>
      </c>
      <c r="T5" s="7" t="inlineStr">
        <is>
          <t>C</t>
        </is>
      </c>
      <c r="U5" s="7" t="inlineStr">
        <is>
          <t>A</t>
        </is>
      </c>
      <c r="V5" s="7" t="inlineStr">
        <is>
          <t>B</t>
        </is>
      </c>
      <c r="W5" s="7" t="inlineStr">
        <is>
          <t>C</t>
        </is>
      </c>
      <c r="X5" s="7" t="inlineStr">
        <is>
          <t>B</t>
        </is>
      </c>
      <c r="Y5" s="7" t="inlineStr">
        <is>
          <t>D</t>
        </is>
      </c>
      <c r="Z5" s="7" t="inlineStr">
        <is>
          <t>B</t>
        </is>
      </c>
      <c r="AA5" s="7" t="inlineStr">
        <is>
          <t>C</t>
        </is>
      </c>
      <c r="AB5" s="7" t="inlineStr">
        <is>
          <t>A</t>
        </is>
      </c>
      <c r="AC5" s="7" t="inlineStr">
        <is>
          <t>D</t>
        </is>
      </c>
      <c r="AD5" s="7" t="inlineStr">
        <is>
          <t>D</t>
        </is>
      </c>
      <c r="AE5" s="7" t="inlineStr">
        <is>
          <t>B</t>
        </is>
      </c>
      <c r="AF5" s="7" t="inlineStr">
        <is>
          <t>A</t>
        </is>
      </c>
    </row>
    <row r="6">
      <c r="A6" s="4" t="n">
        <v>1</v>
      </c>
      <c r="B6" s="4">
        <f>IF(Royxat!B2="","",Royxat!B2)</f>
        <v/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9">
        <f>IF(COUNTA($C6:$AF6)=0,"",SUMPRODUCT(--(UPPER(TRIM(C6:G6))=C$5:G$5)))</f>
        <v/>
      </c>
      <c r="AH6" s="9">
        <f>IF(COUNTA($C6:$AF6)=0,"",SUMPRODUCT(--(UPPER(TRIM(H6:L6))=H$5:L$5)))</f>
        <v/>
      </c>
      <c r="AI6" s="9">
        <f>IF(COUNTA($C6:$AF6)=0,"",SUMPRODUCT(--(UPPER(TRIM(M6:Q6))=M$5:Q$5)))</f>
        <v/>
      </c>
      <c r="AJ6" s="9">
        <f>IF(COUNTA($C6:$AF6)=0,"",SUMPRODUCT(--(UPPER(TRIM(R6:V6))=R$5:V$5)))</f>
        <v/>
      </c>
      <c r="AK6" s="9">
        <f>IF(COUNTA($C6:$AF6)=0,"",SUMPRODUCT(--(UPPER(TRIM(W6:AA6))=W$5:AA$5)))</f>
        <v/>
      </c>
      <c r="AL6" s="9">
        <f>IF(COUNTA($C6:$AF6)=0,"",SUMPRODUCT(--(UPPER(TRIM(AB6:AF6))=AB$5:AF$5)))</f>
        <v/>
      </c>
      <c r="AM6" s="9">
        <f>IF(AG6="","",ROUND((AG6+AH6+AI6)/15*100,0))</f>
        <v/>
      </c>
      <c r="AN6" s="9">
        <f>IF(AG6="","",ROUND((AJ6+AK6+AL6)/15*100,0))</f>
        <v/>
      </c>
      <c r="AO6" s="9">
        <f>IF(AG6="","",SUM(AG6:AL6))</f>
        <v/>
      </c>
      <c r="AP6" s="9">
        <f>IF(AO6="","",ROUND(AO6/30*100,0))</f>
        <v/>
      </c>
      <c r="AQ6" s="9">
        <f>IF(AP6="","",IF(AP6&gt;=Darajalar!$B$2,"Yuqori",IF(AP6&gt;=Darajalar!$B$3,"Yaxshi",IF(AP6&gt;=Darajalar!$B$4,"O‘rta","Boshlang‘ich"))))</f>
        <v/>
      </c>
      <c r="AR6" s="9">
        <f>IF(AP6="","",ROUND(AP6/10,0))</f>
        <v/>
      </c>
      <c r="AS6" s="9">
        <f>IF(AM6="","",IF(AM6&gt;=Darajalar!$B$3,"Mos",IF(AM6&gt;=Darajalar!$B$4,"Qisman mos","Mos emas")))</f>
        <v/>
      </c>
      <c r="AT6" s="9">
        <f>IF(AP6="","",IF(AND(AP6&gt;=75,OR(Amaliy!J6="",Amaliy!J6&gt;=75)),"Ilg‘or",IF(OR(AP6&lt;45,AND(Amaliy!J6&lt;&gt;"",Amaliy!J6&lt;45)),"Yordam","Asosiy")))</f>
        <v/>
      </c>
    </row>
    <row r="7">
      <c r="A7" s="4" t="n">
        <v>2</v>
      </c>
      <c r="B7" s="4">
        <f>IF(Royxat!B3="","",Royxat!B3)</f>
        <v/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9">
        <f>IF(COUNTA($C7:$AF7)=0,"",SUMPRODUCT(--(UPPER(TRIM(C7:G7))=C$5:G$5)))</f>
        <v/>
      </c>
      <c r="AH7" s="9">
        <f>IF(COUNTA($C7:$AF7)=0,"",SUMPRODUCT(--(UPPER(TRIM(H7:L7))=H$5:L$5)))</f>
        <v/>
      </c>
      <c r="AI7" s="9">
        <f>IF(COUNTA($C7:$AF7)=0,"",SUMPRODUCT(--(UPPER(TRIM(M7:Q7))=M$5:Q$5)))</f>
        <v/>
      </c>
      <c r="AJ7" s="9">
        <f>IF(COUNTA($C7:$AF7)=0,"",SUMPRODUCT(--(UPPER(TRIM(R7:V7))=R$5:V$5)))</f>
        <v/>
      </c>
      <c r="AK7" s="9">
        <f>IF(COUNTA($C7:$AF7)=0,"",SUMPRODUCT(--(UPPER(TRIM(W7:AA7))=W$5:AA$5)))</f>
        <v/>
      </c>
      <c r="AL7" s="9">
        <f>IF(COUNTA($C7:$AF7)=0,"",SUMPRODUCT(--(UPPER(TRIM(AB7:AF7))=AB$5:AF$5)))</f>
        <v/>
      </c>
      <c r="AM7" s="9">
        <f>IF(AG7="","",ROUND((AG7+AH7+AI7)/15*100,0))</f>
        <v/>
      </c>
      <c r="AN7" s="9">
        <f>IF(AG7="","",ROUND((AJ7+AK7+AL7)/15*100,0))</f>
        <v/>
      </c>
      <c r="AO7" s="9">
        <f>IF(AG7="","",SUM(AG7:AL7))</f>
        <v/>
      </c>
      <c r="AP7" s="9">
        <f>IF(AO7="","",ROUND(AO7/30*100,0))</f>
        <v/>
      </c>
      <c r="AQ7" s="9">
        <f>IF(AP7="","",IF(AP7&gt;=Darajalar!$B$2,"Yuqori",IF(AP7&gt;=Darajalar!$B$3,"Yaxshi",IF(AP7&gt;=Darajalar!$B$4,"O‘rta","Boshlang‘ich"))))</f>
        <v/>
      </c>
      <c r="AR7" s="9">
        <f>IF(AP7="","",ROUND(AP7/10,0))</f>
        <v/>
      </c>
      <c r="AS7" s="9">
        <f>IF(AM7="","",IF(AM7&gt;=Darajalar!$B$3,"Mos",IF(AM7&gt;=Darajalar!$B$4,"Qisman mos","Mos emas")))</f>
        <v/>
      </c>
      <c r="AT7" s="9">
        <f>IF(AP7="","",IF(AND(AP7&gt;=75,OR(Amaliy!J7="",Amaliy!J7&gt;=75)),"Ilg‘or",IF(OR(AP7&lt;45,AND(Amaliy!J7&lt;&gt;"",Amaliy!J7&lt;45)),"Yordam","Asosiy")))</f>
        <v/>
      </c>
    </row>
    <row r="8">
      <c r="A8" s="4" t="n">
        <v>3</v>
      </c>
      <c r="B8" s="4">
        <f>IF(Royxat!B4="","",Royxat!B4)</f>
        <v/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9">
        <f>IF(COUNTA($C8:$AF8)=0,"",SUMPRODUCT(--(UPPER(TRIM(C8:G8))=C$5:G$5)))</f>
        <v/>
      </c>
      <c r="AH8" s="9">
        <f>IF(COUNTA($C8:$AF8)=0,"",SUMPRODUCT(--(UPPER(TRIM(H8:L8))=H$5:L$5)))</f>
        <v/>
      </c>
      <c r="AI8" s="9">
        <f>IF(COUNTA($C8:$AF8)=0,"",SUMPRODUCT(--(UPPER(TRIM(M8:Q8))=M$5:Q$5)))</f>
        <v/>
      </c>
      <c r="AJ8" s="9">
        <f>IF(COUNTA($C8:$AF8)=0,"",SUMPRODUCT(--(UPPER(TRIM(R8:V8))=R$5:V$5)))</f>
        <v/>
      </c>
      <c r="AK8" s="9">
        <f>IF(COUNTA($C8:$AF8)=0,"",SUMPRODUCT(--(UPPER(TRIM(W8:AA8))=W$5:AA$5)))</f>
        <v/>
      </c>
      <c r="AL8" s="9">
        <f>IF(COUNTA($C8:$AF8)=0,"",SUMPRODUCT(--(UPPER(TRIM(AB8:AF8))=AB$5:AF$5)))</f>
        <v/>
      </c>
      <c r="AM8" s="9">
        <f>IF(AG8="","",ROUND((AG8+AH8+AI8)/15*100,0))</f>
        <v/>
      </c>
      <c r="AN8" s="9">
        <f>IF(AG8="","",ROUND((AJ8+AK8+AL8)/15*100,0))</f>
        <v/>
      </c>
      <c r="AO8" s="9">
        <f>IF(AG8="","",SUM(AG8:AL8))</f>
        <v/>
      </c>
      <c r="AP8" s="9">
        <f>IF(AO8="","",ROUND(AO8/30*100,0))</f>
        <v/>
      </c>
      <c r="AQ8" s="9">
        <f>IF(AP8="","",IF(AP8&gt;=Darajalar!$B$2,"Yuqori",IF(AP8&gt;=Darajalar!$B$3,"Yaxshi",IF(AP8&gt;=Darajalar!$B$4,"O‘rta","Boshlang‘ich"))))</f>
        <v/>
      </c>
      <c r="AR8" s="9">
        <f>IF(AP8="","",ROUND(AP8/10,0))</f>
        <v/>
      </c>
      <c r="AS8" s="9">
        <f>IF(AM8="","",IF(AM8&gt;=Darajalar!$B$3,"Mos",IF(AM8&gt;=Darajalar!$B$4,"Qisman mos","Mos emas")))</f>
        <v/>
      </c>
      <c r="AT8" s="9">
        <f>IF(AP8="","",IF(AND(AP8&gt;=75,OR(Amaliy!J8="",Amaliy!J8&gt;=75)),"Ilg‘or",IF(OR(AP8&lt;45,AND(Amaliy!J8&lt;&gt;"",Amaliy!J8&lt;45)),"Yordam","Asosiy")))</f>
        <v/>
      </c>
    </row>
    <row r="9">
      <c r="A9" s="4" t="n">
        <v>4</v>
      </c>
      <c r="B9" s="4">
        <f>IF(Royxat!B5="","",Royxat!B5)</f>
        <v/>
      </c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9">
        <f>IF(COUNTA($C9:$AF9)=0,"",SUMPRODUCT(--(UPPER(TRIM(C9:G9))=C$5:G$5)))</f>
        <v/>
      </c>
      <c r="AH9" s="9">
        <f>IF(COUNTA($C9:$AF9)=0,"",SUMPRODUCT(--(UPPER(TRIM(H9:L9))=H$5:L$5)))</f>
        <v/>
      </c>
      <c r="AI9" s="9">
        <f>IF(COUNTA($C9:$AF9)=0,"",SUMPRODUCT(--(UPPER(TRIM(M9:Q9))=M$5:Q$5)))</f>
        <v/>
      </c>
      <c r="AJ9" s="9">
        <f>IF(COUNTA($C9:$AF9)=0,"",SUMPRODUCT(--(UPPER(TRIM(R9:V9))=R$5:V$5)))</f>
        <v/>
      </c>
      <c r="AK9" s="9">
        <f>IF(COUNTA($C9:$AF9)=0,"",SUMPRODUCT(--(UPPER(TRIM(W9:AA9))=W$5:AA$5)))</f>
        <v/>
      </c>
      <c r="AL9" s="9">
        <f>IF(COUNTA($C9:$AF9)=0,"",SUMPRODUCT(--(UPPER(TRIM(AB9:AF9))=AB$5:AF$5)))</f>
        <v/>
      </c>
      <c r="AM9" s="9">
        <f>IF(AG9="","",ROUND((AG9+AH9+AI9)/15*100,0))</f>
        <v/>
      </c>
      <c r="AN9" s="9">
        <f>IF(AG9="","",ROUND((AJ9+AK9+AL9)/15*100,0))</f>
        <v/>
      </c>
      <c r="AO9" s="9">
        <f>IF(AG9="","",SUM(AG9:AL9))</f>
        <v/>
      </c>
      <c r="AP9" s="9">
        <f>IF(AO9="","",ROUND(AO9/30*100,0))</f>
        <v/>
      </c>
      <c r="AQ9" s="9">
        <f>IF(AP9="","",IF(AP9&gt;=Darajalar!$B$2,"Yuqori",IF(AP9&gt;=Darajalar!$B$3,"Yaxshi",IF(AP9&gt;=Darajalar!$B$4,"O‘rta","Boshlang‘ich"))))</f>
        <v/>
      </c>
      <c r="AR9" s="9">
        <f>IF(AP9="","",ROUND(AP9/10,0))</f>
        <v/>
      </c>
      <c r="AS9" s="9">
        <f>IF(AM9="","",IF(AM9&gt;=Darajalar!$B$3,"Mos",IF(AM9&gt;=Darajalar!$B$4,"Qisman mos","Mos emas")))</f>
        <v/>
      </c>
      <c r="AT9" s="9">
        <f>IF(AP9="","",IF(AND(AP9&gt;=75,OR(Amaliy!J9="",Amaliy!J9&gt;=75)),"Ilg‘or",IF(OR(AP9&lt;45,AND(Amaliy!J9&lt;&gt;"",Amaliy!J9&lt;45)),"Yordam","Asosiy")))</f>
        <v/>
      </c>
    </row>
    <row r="10">
      <c r="A10" s="4" t="n">
        <v>5</v>
      </c>
      <c r="B10" s="4">
        <f>IF(Royxat!B6="","",Royxat!B6)</f>
        <v/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9">
        <f>IF(COUNTA($C10:$AF10)=0,"",SUMPRODUCT(--(UPPER(TRIM(C10:G10))=C$5:G$5)))</f>
        <v/>
      </c>
      <c r="AH10" s="9">
        <f>IF(COUNTA($C10:$AF10)=0,"",SUMPRODUCT(--(UPPER(TRIM(H10:L10))=H$5:L$5)))</f>
        <v/>
      </c>
      <c r="AI10" s="9">
        <f>IF(COUNTA($C10:$AF10)=0,"",SUMPRODUCT(--(UPPER(TRIM(M10:Q10))=M$5:Q$5)))</f>
        <v/>
      </c>
      <c r="AJ10" s="9">
        <f>IF(COUNTA($C10:$AF10)=0,"",SUMPRODUCT(--(UPPER(TRIM(R10:V10))=R$5:V$5)))</f>
        <v/>
      </c>
      <c r="AK10" s="9">
        <f>IF(COUNTA($C10:$AF10)=0,"",SUMPRODUCT(--(UPPER(TRIM(W10:AA10))=W$5:AA$5)))</f>
        <v/>
      </c>
      <c r="AL10" s="9">
        <f>IF(COUNTA($C10:$AF10)=0,"",SUMPRODUCT(--(UPPER(TRIM(AB10:AF10))=AB$5:AF$5)))</f>
        <v/>
      </c>
      <c r="AM10" s="9">
        <f>IF(AG10="","",ROUND((AG10+AH10+AI10)/15*100,0))</f>
        <v/>
      </c>
      <c r="AN10" s="9">
        <f>IF(AG10="","",ROUND((AJ10+AK10+AL10)/15*100,0))</f>
        <v/>
      </c>
      <c r="AO10" s="9">
        <f>IF(AG10="","",SUM(AG10:AL10))</f>
        <v/>
      </c>
      <c r="AP10" s="9">
        <f>IF(AO10="","",ROUND(AO10/30*100,0))</f>
        <v/>
      </c>
      <c r="AQ10" s="9">
        <f>IF(AP10="","",IF(AP10&gt;=Darajalar!$B$2,"Yuqori",IF(AP10&gt;=Darajalar!$B$3,"Yaxshi",IF(AP10&gt;=Darajalar!$B$4,"O‘rta","Boshlang‘ich"))))</f>
        <v/>
      </c>
      <c r="AR10" s="9">
        <f>IF(AP10="","",ROUND(AP10/10,0))</f>
        <v/>
      </c>
      <c r="AS10" s="9">
        <f>IF(AM10="","",IF(AM10&gt;=Darajalar!$B$3,"Mos",IF(AM10&gt;=Darajalar!$B$4,"Qisman mos","Mos emas")))</f>
        <v/>
      </c>
      <c r="AT10" s="9">
        <f>IF(AP10="","",IF(AND(AP10&gt;=75,OR(Amaliy!J10="",Amaliy!J10&gt;=75)),"Ilg‘or",IF(OR(AP10&lt;45,AND(Amaliy!J10&lt;&gt;"",Amaliy!J10&lt;45)),"Yordam","Asosiy")))</f>
        <v/>
      </c>
    </row>
    <row r="11">
      <c r="A11" s="4" t="n">
        <v>6</v>
      </c>
      <c r="B11" s="4">
        <f>IF(Royxat!B7="","",Royxat!B7)</f>
        <v/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9">
        <f>IF(COUNTA($C11:$AF11)=0,"",SUMPRODUCT(--(UPPER(TRIM(C11:G11))=C$5:G$5)))</f>
        <v/>
      </c>
      <c r="AH11" s="9">
        <f>IF(COUNTA($C11:$AF11)=0,"",SUMPRODUCT(--(UPPER(TRIM(H11:L11))=H$5:L$5)))</f>
        <v/>
      </c>
      <c r="AI11" s="9">
        <f>IF(COUNTA($C11:$AF11)=0,"",SUMPRODUCT(--(UPPER(TRIM(M11:Q11))=M$5:Q$5)))</f>
        <v/>
      </c>
      <c r="AJ11" s="9">
        <f>IF(COUNTA($C11:$AF11)=0,"",SUMPRODUCT(--(UPPER(TRIM(R11:V11))=R$5:V$5)))</f>
        <v/>
      </c>
      <c r="AK11" s="9">
        <f>IF(COUNTA($C11:$AF11)=0,"",SUMPRODUCT(--(UPPER(TRIM(W11:AA11))=W$5:AA$5)))</f>
        <v/>
      </c>
      <c r="AL11" s="9">
        <f>IF(COUNTA($C11:$AF11)=0,"",SUMPRODUCT(--(UPPER(TRIM(AB11:AF11))=AB$5:AF$5)))</f>
        <v/>
      </c>
      <c r="AM11" s="9">
        <f>IF(AG11="","",ROUND((AG11+AH11+AI11)/15*100,0))</f>
        <v/>
      </c>
      <c r="AN11" s="9">
        <f>IF(AG11="","",ROUND((AJ11+AK11+AL11)/15*100,0))</f>
        <v/>
      </c>
      <c r="AO11" s="9">
        <f>IF(AG11="","",SUM(AG11:AL11))</f>
        <v/>
      </c>
      <c r="AP11" s="9">
        <f>IF(AO11="","",ROUND(AO11/30*100,0))</f>
        <v/>
      </c>
      <c r="AQ11" s="9">
        <f>IF(AP11="","",IF(AP11&gt;=Darajalar!$B$2,"Yuqori",IF(AP11&gt;=Darajalar!$B$3,"Yaxshi",IF(AP11&gt;=Darajalar!$B$4,"O‘rta","Boshlang‘ich"))))</f>
        <v/>
      </c>
      <c r="AR11" s="9">
        <f>IF(AP11="","",ROUND(AP11/10,0))</f>
        <v/>
      </c>
      <c r="AS11" s="9">
        <f>IF(AM11="","",IF(AM11&gt;=Darajalar!$B$3,"Mos",IF(AM11&gt;=Darajalar!$B$4,"Qisman mos","Mos emas")))</f>
        <v/>
      </c>
      <c r="AT11" s="9">
        <f>IF(AP11="","",IF(AND(AP11&gt;=75,OR(Amaliy!J11="",Amaliy!J11&gt;=75)),"Ilg‘or",IF(OR(AP11&lt;45,AND(Amaliy!J11&lt;&gt;"",Amaliy!J11&lt;45)),"Yordam","Asosiy")))</f>
        <v/>
      </c>
    </row>
    <row r="12">
      <c r="A12" s="4" t="n">
        <v>7</v>
      </c>
      <c r="B12" s="4">
        <f>IF(Royxat!B8="","",Royxat!B8)</f>
        <v/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9">
        <f>IF(COUNTA($C12:$AF12)=0,"",SUMPRODUCT(--(UPPER(TRIM(C12:G12))=C$5:G$5)))</f>
        <v/>
      </c>
      <c r="AH12" s="9">
        <f>IF(COUNTA($C12:$AF12)=0,"",SUMPRODUCT(--(UPPER(TRIM(H12:L12))=H$5:L$5)))</f>
        <v/>
      </c>
      <c r="AI12" s="9">
        <f>IF(COUNTA($C12:$AF12)=0,"",SUMPRODUCT(--(UPPER(TRIM(M12:Q12))=M$5:Q$5)))</f>
        <v/>
      </c>
      <c r="AJ12" s="9">
        <f>IF(COUNTA($C12:$AF12)=0,"",SUMPRODUCT(--(UPPER(TRIM(R12:V12))=R$5:V$5)))</f>
        <v/>
      </c>
      <c r="AK12" s="9">
        <f>IF(COUNTA($C12:$AF12)=0,"",SUMPRODUCT(--(UPPER(TRIM(W12:AA12))=W$5:AA$5)))</f>
        <v/>
      </c>
      <c r="AL12" s="9">
        <f>IF(COUNTA($C12:$AF12)=0,"",SUMPRODUCT(--(UPPER(TRIM(AB12:AF12))=AB$5:AF$5)))</f>
        <v/>
      </c>
      <c r="AM12" s="9">
        <f>IF(AG12="","",ROUND((AG12+AH12+AI12)/15*100,0))</f>
        <v/>
      </c>
      <c r="AN12" s="9">
        <f>IF(AG12="","",ROUND((AJ12+AK12+AL12)/15*100,0))</f>
        <v/>
      </c>
      <c r="AO12" s="9">
        <f>IF(AG12="","",SUM(AG12:AL12))</f>
        <v/>
      </c>
      <c r="AP12" s="9">
        <f>IF(AO12="","",ROUND(AO12/30*100,0))</f>
        <v/>
      </c>
      <c r="AQ12" s="9">
        <f>IF(AP12="","",IF(AP12&gt;=Darajalar!$B$2,"Yuqori",IF(AP12&gt;=Darajalar!$B$3,"Yaxshi",IF(AP12&gt;=Darajalar!$B$4,"O‘rta","Boshlang‘ich"))))</f>
        <v/>
      </c>
      <c r="AR12" s="9">
        <f>IF(AP12="","",ROUND(AP12/10,0))</f>
        <v/>
      </c>
      <c r="AS12" s="9">
        <f>IF(AM12="","",IF(AM12&gt;=Darajalar!$B$3,"Mos",IF(AM12&gt;=Darajalar!$B$4,"Qisman mos","Mos emas")))</f>
        <v/>
      </c>
      <c r="AT12" s="9">
        <f>IF(AP12="","",IF(AND(AP12&gt;=75,OR(Amaliy!J12="",Amaliy!J12&gt;=75)),"Ilg‘or",IF(OR(AP12&lt;45,AND(Amaliy!J12&lt;&gt;"",Amaliy!J12&lt;45)),"Yordam","Asosiy")))</f>
        <v/>
      </c>
    </row>
    <row r="13">
      <c r="A13" s="4" t="n">
        <v>8</v>
      </c>
      <c r="B13" s="4">
        <f>IF(Royxat!B9="","",Royxat!B9)</f>
        <v/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9">
        <f>IF(COUNTA($C13:$AF13)=0,"",SUMPRODUCT(--(UPPER(TRIM(C13:G13))=C$5:G$5)))</f>
        <v/>
      </c>
      <c r="AH13" s="9">
        <f>IF(COUNTA($C13:$AF13)=0,"",SUMPRODUCT(--(UPPER(TRIM(H13:L13))=H$5:L$5)))</f>
        <v/>
      </c>
      <c r="AI13" s="9">
        <f>IF(COUNTA($C13:$AF13)=0,"",SUMPRODUCT(--(UPPER(TRIM(M13:Q13))=M$5:Q$5)))</f>
        <v/>
      </c>
      <c r="AJ13" s="9">
        <f>IF(COUNTA($C13:$AF13)=0,"",SUMPRODUCT(--(UPPER(TRIM(R13:V13))=R$5:V$5)))</f>
        <v/>
      </c>
      <c r="AK13" s="9">
        <f>IF(COUNTA($C13:$AF13)=0,"",SUMPRODUCT(--(UPPER(TRIM(W13:AA13))=W$5:AA$5)))</f>
        <v/>
      </c>
      <c r="AL13" s="9">
        <f>IF(COUNTA($C13:$AF13)=0,"",SUMPRODUCT(--(UPPER(TRIM(AB13:AF13))=AB$5:AF$5)))</f>
        <v/>
      </c>
      <c r="AM13" s="9">
        <f>IF(AG13="","",ROUND((AG13+AH13+AI13)/15*100,0))</f>
        <v/>
      </c>
      <c r="AN13" s="9">
        <f>IF(AG13="","",ROUND((AJ13+AK13+AL13)/15*100,0))</f>
        <v/>
      </c>
      <c r="AO13" s="9">
        <f>IF(AG13="","",SUM(AG13:AL13))</f>
        <v/>
      </c>
      <c r="AP13" s="9">
        <f>IF(AO13="","",ROUND(AO13/30*100,0))</f>
        <v/>
      </c>
      <c r="AQ13" s="9">
        <f>IF(AP13="","",IF(AP13&gt;=Darajalar!$B$2,"Yuqori",IF(AP13&gt;=Darajalar!$B$3,"Yaxshi",IF(AP13&gt;=Darajalar!$B$4,"O‘rta","Boshlang‘ich"))))</f>
        <v/>
      </c>
      <c r="AR13" s="9">
        <f>IF(AP13="","",ROUND(AP13/10,0))</f>
        <v/>
      </c>
      <c r="AS13" s="9">
        <f>IF(AM13="","",IF(AM13&gt;=Darajalar!$B$3,"Mos",IF(AM13&gt;=Darajalar!$B$4,"Qisman mos","Mos emas")))</f>
        <v/>
      </c>
      <c r="AT13" s="9">
        <f>IF(AP13="","",IF(AND(AP13&gt;=75,OR(Amaliy!J13="",Amaliy!J13&gt;=75)),"Ilg‘or",IF(OR(AP13&lt;45,AND(Amaliy!J13&lt;&gt;"",Amaliy!J13&lt;45)),"Yordam","Asosiy")))</f>
        <v/>
      </c>
    </row>
    <row r="14">
      <c r="A14" s="4" t="n">
        <v>9</v>
      </c>
      <c r="B14" s="4">
        <f>IF(Royxat!B10="","",Royxat!B10)</f>
        <v/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9">
        <f>IF(COUNTA($C14:$AF14)=0,"",SUMPRODUCT(--(UPPER(TRIM(C14:G14))=C$5:G$5)))</f>
        <v/>
      </c>
      <c r="AH14" s="9">
        <f>IF(COUNTA($C14:$AF14)=0,"",SUMPRODUCT(--(UPPER(TRIM(H14:L14))=H$5:L$5)))</f>
        <v/>
      </c>
      <c r="AI14" s="9">
        <f>IF(COUNTA($C14:$AF14)=0,"",SUMPRODUCT(--(UPPER(TRIM(M14:Q14))=M$5:Q$5)))</f>
        <v/>
      </c>
      <c r="AJ14" s="9">
        <f>IF(COUNTA($C14:$AF14)=0,"",SUMPRODUCT(--(UPPER(TRIM(R14:V14))=R$5:V$5)))</f>
        <v/>
      </c>
      <c r="AK14" s="9">
        <f>IF(COUNTA($C14:$AF14)=0,"",SUMPRODUCT(--(UPPER(TRIM(W14:AA14))=W$5:AA$5)))</f>
        <v/>
      </c>
      <c r="AL14" s="9">
        <f>IF(COUNTA($C14:$AF14)=0,"",SUMPRODUCT(--(UPPER(TRIM(AB14:AF14))=AB$5:AF$5)))</f>
        <v/>
      </c>
      <c r="AM14" s="9">
        <f>IF(AG14="","",ROUND((AG14+AH14+AI14)/15*100,0))</f>
        <v/>
      </c>
      <c r="AN14" s="9">
        <f>IF(AG14="","",ROUND((AJ14+AK14+AL14)/15*100,0))</f>
        <v/>
      </c>
      <c r="AO14" s="9">
        <f>IF(AG14="","",SUM(AG14:AL14))</f>
        <v/>
      </c>
      <c r="AP14" s="9">
        <f>IF(AO14="","",ROUND(AO14/30*100,0))</f>
        <v/>
      </c>
      <c r="AQ14" s="9">
        <f>IF(AP14="","",IF(AP14&gt;=Darajalar!$B$2,"Yuqori",IF(AP14&gt;=Darajalar!$B$3,"Yaxshi",IF(AP14&gt;=Darajalar!$B$4,"O‘rta","Boshlang‘ich"))))</f>
        <v/>
      </c>
      <c r="AR14" s="9">
        <f>IF(AP14="","",ROUND(AP14/10,0))</f>
        <v/>
      </c>
      <c r="AS14" s="9">
        <f>IF(AM14="","",IF(AM14&gt;=Darajalar!$B$3,"Mos",IF(AM14&gt;=Darajalar!$B$4,"Qisman mos","Mos emas")))</f>
        <v/>
      </c>
      <c r="AT14" s="9">
        <f>IF(AP14="","",IF(AND(AP14&gt;=75,OR(Amaliy!J14="",Amaliy!J14&gt;=75)),"Ilg‘or",IF(OR(AP14&lt;45,AND(Amaliy!J14&lt;&gt;"",Amaliy!J14&lt;45)),"Yordam","Asosiy")))</f>
        <v/>
      </c>
    </row>
    <row r="15">
      <c r="A15" s="4" t="n">
        <v>10</v>
      </c>
      <c r="B15" s="4">
        <f>IF(Royxat!B11="","",Royxat!B11)</f>
        <v/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9">
        <f>IF(COUNTA($C15:$AF15)=0,"",SUMPRODUCT(--(UPPER(TRIM(C15:G15))=C$5:G$5)))</f>
        <v/>
      </c>
      <c r="AH15" s="9">
        <f>IF(COUNTA($C15:$AF15)=0,"",SUMPRODUCT(--(UPPER(TRIM(H15:L15))=H$5:L$5)))</f>
        <v/>
      </c>
      <c r="AI15" s="9">
        <f>IF(COUNTA($C15:$AF15)=0,"",SUMPRODUCT(--(UPPER(TRIM(M15:Q15))=M$5:Q$5)))</f>
        <v/>
      </c>
      <c r="AJ15" s="9">
        <f>IF(COUNTA($C15:$AF15)=0,"",SUMPRODUCT(--(UPPER(TRIM(R15:V15))=R$5:V$5)))</f>
        <v/>
      </c>
      <c r="AK15" s="9">
        <f>IF(COUNTA($C15:$AF15)=0,"",SUMPRODUCT(--(UPPER(TRIM(W15:AA15))=W$5:AA$5)))</f>
        <v/>
      </c>
      <c r="AL15" s="9">
        <f>IF(COUNTA($C15:$AF15)=0,"",SUMPRODUCT(--(UPPER(TRIM(AB15:AF15))=AB$5:AF$5)))</f>
        <v/>
      </c>
      <c r="AM15" s="9">
        <f>IF(AG15="","",ROUND((AG15+AH15+AI15)/15*100,0))</f>
        <v/>
      </c>
      <c r="AN15" s="9">
        <f>IF(AG15="","",ROUND((AJ15+AK15+AL15)/15*100,0))</f>
        <v/>
      </c>
      <c r="AO15" s="9">
        <f>IF(AG15="","",SUM(AG15:AL15))</f>
        <v/>
      </c>
      <c r="AP15" s="9">
        <f>IF(AO15="","",ROUND(AO15/30*100,0))</f>
        <v/>
      </c>
      <c r="AQ15" s="9">
        <f>IF(AP15="","",IF(AP15&gt;=Darajalar!$B$2,"Yuqori",IF(AP15&gt;=Darajalar!$B$3,"Yaxshi",IF(AP15&gt;=Darajalar!$B$4,"O‘rta","Boshlang‘ich"))))</f>
        <v/>
      </c>
      <c r="AR15" s="9">
        <f>IF(AP15="","",ROUND(AP15/10,0))</f>
        <v/>
      </c>
      <c r="AS15" s="9">
        <f>IF(AM15="","",IF(AM15&gt;=Darajalar!$B$3,"Mos",IF(AM15&gt;=Darajalar!$B$4,"Qisman mos","Mos emas")))</f>
        <v/>
      </c>
      <c r="AT15" s="9">
        <f>IF(AP15="","",IF(AND(AP15&gt;=75,OR(Amaliy!J15="",Amaliy!J15&gt;=75)),"Ilg‘or",IF(OR(AP15&lt;45,AND(Amaliy!J15&lt;&gt;"",Amaliy!J15&lt;45)),"Yordam","Asosiy")))</f>
        <v/>
      </c>
    </row>
    <row r="16">
      <c r="A16" s="4" t="n">
        <v>11</v>
      </c>
      <c r="B16" s="4">
        <f>IF(Royxat!B12="","",Royxat!B12)</f>
        <v/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9">
        <f>IF(COUNTA($C16:$AF16)=0,"",SUMPRODUCT(--(UPPER(TRIM(C16:G16))=C$5:G$5)))</f>
        <v/>
      </c>
      <c r="AH16" s="9">
        <f>IF(COUNTA($C16:$AF16)=0,"",SUMPRODUCT(--(UPPER(TRIM(H16:L16))=H$5:L$5)))</f>
        <v/>
      </c>
      <c r="AI16" s="9">
        <f>IF(COUNTA($C16:$AF16)=0,"",SUMPRODUCT(--(UPPER(TRIM(M16:Q16))=M$5:Q$5)))</f>
        <v/>
      </c>
      <c r="AJ16" s="9">
        <f>IF(COUNTA($C16:$AF16)=0,"",SUMPRODUCT(--(UPPER(TRIM(R16:V16))=R$5:V$5)))</f>
        <v/>
      </c>
      <c r="AK16" s="9">
        <f>IF(COUNTA($C16:$AF16)=0,"",SUMPRODUCT(--(UPPER(TRIM(W16:AA16))=W$5:AA$5)))</f>
        <v/>
      </c>
      <c r="AL16" s="9">
        <f>IF(COUNTA($C16:$AF16)=0,"",SUMPRODUCT(--(UPPER(TRIM(AB16:AF16))=AB$5:AF$5)))</f>
        <v/>
      </c>
      <c r="AM16" s="9">
        <f>IF(AG16="","",ROUND((AG16+AH16+AI16)/15*100,0))</f>
        <v/>
      </c>
      <c r="AN16" s="9">
        <f>IF(AG16="","",ROUND((AJ16+AK16+AL16)/15*100,0))</f>
        <v/>
      </c>
      <c r="AO16" s="9">
        <f>IF(AG16="","",SUM(AG16:AL16))</f>
        <v/>
      </c>
      <c r="AP16" s="9">
        <f>IF(AO16="","",ROUND(AO16/30*100,0))</f>
        <v/>
      </c>
      <c r="AQ16" s="9">
        <f>IF(AP16="","",IF(AP16&gt;=Darajalar!$B$2,"Yuqori",IF(AP16&gt;=Darajalar!$B$3,"Yaxshi",IF(AP16&gt;=Darajalar!$B$4,"O‘rta","Boshlang‘ich"))))</f>
        <v/>
      </c>
      <c r="AR16" s="9">
        <f>IF(AP16="","",ROUND(AP16/10,0))</f>
        <v/>
      </c>
      <c r="AS16" s="9">
        <f>IF(AM16="","",IF(AM16&gt;=Darajalar!$B$3,"Mos",IF(AM16&gt;=Darajalar!$B$4,"Qisman mos","Mos emas")))</f>
        <v/>
      </c>
      <c r="AT16" s="9">
        <f>IF(AP16="","",IF(AND(AP16&gt;=75,OR(Amaliy!J16="",Amaliy!J16&gt;=75)),"Ilg‘or",IF(OR(AP16&lt;45,AND(Amaliy!J16&lt;&gt;"",Amaliy!J16&lt;45)),"Yordam","Asosiy")))</f>
        <v/>
      </c>
    </row>
    <row r="17">
      <c r="A17" s="4" t="n">
        <v>12</v>
      </c>
      <c r="B17" s="4">
        <f>IF(Royxat!B13="","",Royxat!B13)</f>
        <v/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9">
        <f>IF(COUNTA($C17:$AF17)=0,"",SUMPRODUCT(--(UPPER(TRIM(C17:G17))=C$5:G$5)))</f>
        <v/>
      </c>
      <c r="AH17" s="9">
        <f>IF(COUNTA($C17:$AF17)=0,"",SUMPRODUCT(--(UPPER(TRIM(H17:L17))=H$5:L$5)))</f>
        <v/>
      </c>
      <c r="AI17" s="9">
        <f>IF(COUNTA($C17:$AF17)=0,"",SUMPRODUCT(--(UPPER(TRIM(M17:Q17))=M$5:Q$5)))</f>
        <v/>
      </c>
      <c r="AJ17" s="9">
        <f>IF(COUNTA($C17:$AF17)=0,"",SUMPRODUCT(--(UPPER(TRIM(R17:V17))=R$5:V$5)))</f>
        <v/>
      </c>
      <c r="AK17" s="9">
        <f>IF(COUNTA($C17:$AF17)=0,"",SUMPRODUCT(--(UPPER(TRIM(W17:AA17))=W$5:AA$5)))</f>
        <v/>
      </c>
      <c r="AL17" s="9">
        <f>IF(COUNTA($C17:$AF17)=0,"",SUMPRODUCT(--(UPPER(TRIM(AB17:AF17))=AB$5:AF$5)))</f>
        <v/>
      </c>
      <c r="AM17" s="9">
        <f>IF(AG17="","",ROUND((AG17+AH17+AI17)/15*100,0))</f>
        <v/>
      </c>
      <c r="AN17" s="9">
        <f>IF(AG17="","",ROUND((AJ17+AK17+AL17)/15*100,0))</f>
        <v/>
      </c>
      <c r="AO17" s="9">
        <f>IF(AG17="","",SUM(AG17:AL17))</f>
        <v/>
      </c>
      <c r="AP17" s="9">
        <f>IF(AO17="","",ROUND(AO17/30*100,0))</f>
        <v/>
      </c>
      <c r="AQ17" s="9">
        <f>IF(AP17="","",IF(AP17&gt;=Darajalar!$B$2,"Yuqori",IF(AP17&gt;=Darajalar!$B$3,"Yaxshi",IF(AP17&gt;=Darajalar!$B$4,"O‘rta","Boshlang‘ich"))))</f>
        <v/>
      </c>
      <c r="AR17" s="9">
        <f>IF(AP17="","",ROUND(AP17/10,0))</f>
        <v/>
      </c>
      <c r="AS17" s="9">
        <f>IF(AM17="","",IF(AM17&gt;=Darajalar!$B$3,"Mos",IF(AM17&gt;=Darajalar!$B$4,"Qisman mos","Mos emas")))</f>
        <v/>
      </c>
      <c r="AT17" s="9">
        <f>IF(AP17="","",IF(AND(AP17&gt;=75,OR(Amaliy!J17="",Amaliy!J17&gt;=75)),"Ilg‘or",IF(OR(AP17&lt;45,AND(Amaliy!J17&lt;&gt;"",Amaliy!J17&lt;45)),"Yordam","Asosiy")))</f>
        <v/>
      </c>
    </row>
    <row r="18">
      <c r="A18" s="4" t="n">
        <v>13</v>
      </c>
      <c r="B18" s="4">
        <f>IF(Royxat!B14="","",Royxat!B14)</f>
        <v/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9">
        <f>IF(COUNTA($C18:$AF18)=0,"",SUMPRODUCT(--(UPPER(TRIM(C18:G18))=C$5:G$5)))</f>
        <v/>
      </c>
      <c r="AH18" s="9">
        <f>IF(COUNTA($C18:$AF18)=0,"",SUMPRODUCT(--(UPPER(TRIM(H18:L18))=H$5:L$5)))</f>
        <v/>
      </c>
      <c r="AI18" s="9">
        <f>IF(COUNTA($C18:$AF18)=0,"",SUMPRODUCT(--(UPPER(TRIM(M18:Q18))=M$5:Q$5)))</f>
        <v/>
      </c>
      <c r="AJ18" s="9">
        <f>IF(COUNTA($C18:$AF18)=0,"",SUMPRODUCT(--(UPPER(TRIM(R18:V18))=R$5:V$5)))</f>
        <v/>
      </c>
      <c r="AK18" s="9">
        <f>IF(COUNTA($C18:$AF18)=0,"",SUMPRODUCT(--(UPPER(TRIM(W18:AA18))=W$5:AA$5)))</f>
        <v/>
      </c>
      <c r="AL18" s="9">
        <f>IF(COUNTA($C18:$AF18)=0,"",SUMPRODUCT(--(UPPER(TRIM(AB18:AF18))=AB$5:AF$5)))</f>
        <v/>
      </c>
      <c r="AM18" s="9">
        <f>IF(AG18="","",ROUND((AG18+AH18+AI18)/15*100,0))</f>
        <v/>
      </c>
      <c r="AN18" s="9">
        <f>IF(AG18="","",ROUND((AJ18+AK18+AL18)/15*100,0))</f>
        <v/>
      </c>
      <c r="AO18" s="9">
        <f>IF(AG18="","",SUM(AG18:AL18))</f>
        <v/>
      </c>
      <c r="AP18" s="9">
        <f>IF(AO18="","",ROUND(AO18/30*100,0))</f>
        <v/>
      </c>
      <c r="AQ18" s="9">
        <f>IF(AP18="","",IF(AP18&gt;=Darajalar!$B$2,"Yuqori",IF(AP18&gt;=Darajalar!$B$3,"Yaxshi",IF(AP18&gt;=Darajalar!$B$4,"O‘rta","Boshlang‘ich"))))</f>
        <v/>
      </c>
      <c r="AR18" s="9">
        <f>IF(AP18="","",ROUND(AP18/10,0))</f>
        <v/>
      </c>
      <c r="AS18" s="9">
        <f>IF(AM18="","",IF(AM18&gt;=Darajalar!$B$3,"Mos",IF(AM18&gt;=Darajalar!$B$4,"Qisman mos","Mos emas")))</f>
        <v/>
      </c>
      <c r="AT18" s="9">
        <f>IF(AP18="","",IF(AND(AP18&gt;=75,OR(Amaliy!J18="",Amaliy!J18&gt;=75)),"Ilg‘or",IF(OR(AP18&lt;45,AND(Amaliy!J18&lt;&gt;"",Amaliy!J18&lt;45)),"Yordam","Asosiy")))</f>
        <v/>
      </c>
    </row>
    <row r="19">
      <c r="A19" s="4" t="n">
        <v>14</v>
      </c>
      <c r="B19" s="4">
        <f>IF(Royxat!B15="","",Royxat!B15)</f>
        <v/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9">
        <f>IF(COUNTA($C19:$AF19)=0,"",SUMPRODUCT(--(UPPER(TRIM(C19:G19))=C$5:G$5)))</f>
        <v/>
      </c>
      <c r="AH19" s="9">
        <f>IF(COUNTA($C19:$AF19)=0,"",SUMPRODUCT(--(UPPER(TRIM(H19:L19))=H$5:L$5)))</f>
        <v/>
      </c>
      <c r="AI19" s="9">
        <f>IF(COUNTA($C19:$AF19)=0,"",SUMPRODUCT(--(UPPER(TRIM(M19:Q19))=M$5:Q$5)))</f>
        <v/>
      </c>
      <c r="AJ19" s="9">
        <f>IF(COUNTA($C19:$AF19)=0,"",SUMPRODUCT(--(UPPER(TRIM(R19:V19))=R$5:V$5)))</f>
        <v/>
      </c>
      <c r="AK19" s="9">
        <f>IF(COUNTA($C19:$AF19)=0,"",SUMPRODUCT(--(UPPER(TRIM(W19:AA19))=W$5:AA$5)))</f>
        <v/>
      </c>
      <c r="AL19" s="9">
        <f>IF(COUNTA($C19:$AF19)=0,"",SUMPRODUCT(--(UPPER(TRIM(AB19:AF19))=AB$5:AF$5)))</f>
        <v/>
      </c>
      <c r="AM19" s="9">
        <f>IF(AG19="","",ROUND((AG19+AH19+AI19)/15*100,0))</f>
        <v/>
      </c>
      <c r="AN19" s="9">
        <f>IF(AG19="","",ROUND((AJ19+AK19+AL19)/15*100,0))</f>
        <v/>
      </c>
      <c r="AO19" s="9">
        <f>IF(AG19="","",SUM(AG19:AL19))</f>
        <v/>
      </c>
      <c r="AP19" s="9">
        <f>IF(AO19="","",ROUND(AO19/30*100,0))</f>
        <v/>
      </c>
      <c r="AQ19" s="9">
        <f>IF(AP19="","",IF(AP19&gt;=Darajalar!$B$2,"Yuqori",IF(AP19&gt;=Darajalar!$B$3,"Yaxshi",IF(AP19&gt;=Darajalar!$B$4,"O‘rta","Boshlang‘ich"))))</f>
        <v/>
      </c>
      <c r="AR19" s="9">
        <f>IF(AP19="","",ROUND(AP19/10,0))</f>
        <v/>
      </c>
      <c r="AS19" s="9">
        <f>IF(AM19="","",IF(AM19&gt;=Darajalar!$B$3,"Mos",IF(AM19&gt;=Darajalar!$B$4,"Qisman mos","Mos emas")))</f>
        <v/>
      </c>
      <c r="AT19" s="9">
        <f>IF(AP19="","",IF(AND(AP19&gt;=75,OR(Amaliy!J19="",Amaliy!J19&gt;=75)),"Ilg‘or",IF(OR(AP19&lt;45,AND(Amaliy!J19&lt;&gt;"",Amaliy!J19&lt;45)),"Yordam","Asosiy")))</f>
        <v/>
      </c>
    </row>
    <row r="20">
      <c r="A20" s="4" t="n">
        <v>15</v>
      </c>
      <c r="B20" s="4">
        <f>IF(Royxat!B16="","",Royxat!B16)</f>
        <v/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9">
        <f>IF(COUNTA($C20:$AF20)=0,"",SUMPRODUCT(--(UPPER(TRIM(C20:G20))=C$5:G$5)))</f>
        <v/>
      </c>
      <c r="AH20" s="9">
        <f>IF(COUNTA($C20:$AF20)=0,"",SUMPRODUCT(--(UPPER(TRIM(H20:L20))=H$5:L$5)))</f>
        <v/>
      </c>
      <c r="AI20" s="9">
        <f>IF(COUNTA($C20:$AF20)=0,"",SUMPRODUCT(--(UPPER(TRIM(M20:Q20))=M$5:Q$5)))</f>
        <v/>
      </c>
      <c r="AJ20" s="9">
        <f>IF(COUNTA($C20:$AF20)=0,"",SUMPRODUCT(--(UPPER(TRIM(R20:V20))=R$5:V$5)))</f>
        <v/>
      </c>
      <c r="AK20" s="9">
        <f>IF(COUNTA($C20:$AF20)=0,"",SUMPRODUCT(--(UPPER(TRIM(W20:AA20))=W$5:AA$5)))</f>
        <v/>
      </c>
      <c r="AL20" s="9">
        <f>IF(COUNTA($C20:$AF20)=0,"",SUMPRODUCT(--(UPPER(TRIM(AB20:AF20))=AB$5:AF$5)))</f>
        <v/>
      </c>
      <c r="AM20" s="9">
        <f>IF(AG20="","",ROUND((AG20+AH20+AI20)/15*100,0))</f>
        <v/>
      </c>
      <c r="AN20" s="9">
        <f>IF(AG20="","",ROUND((AJ20+AK20+AL20)/15*100,0))</f>
        <v/>
      </c>
      <c r="AO20" s="9">
        <f>IF(AG20="","",SUM(AG20:AL20))</f>
        <v/>
      </c>
      <c r="AP20" s="9">
        <f>IF(AO20="","",ROUND(AO20/30*100,0))</f>
        <v/>
      </c>
      <c r="AQ20" s="9">
        <f>IF(AP20="","",IF(AP20&gt;=Darajalar!$B$2,"Yuqori",IF(AP20&gt;=Darajalar!$B$3,"Yaxshi",IF(AP20&gt;=Darajalar!$B$4,"O‘rta","Boshlang‘ich"))))</f>
        <v/>
      </c>
      <c r="AR20" s="9">
        <f>IF(AP20="","",ROUND(AP20/10,0))</f>
        <v/>
      </c>
      <c r="AS20" s="9">
        <f>IF(AM20="","",IF(AM20&gt;=Darajalar!$B$3,"Mos",IF(AM20&gt;=Darajalar!$B$4,"Qisman mos","Mos emas")))</f>
        <v/>
      </c>
      <c r="AT20" s="9">
        <f>IF(AP20="","",IF(AND(AP20&gt;=75,OR(Amaliy!J20="",Amaliy!J20&gt;=75)),"Ilg‘or",IF(OR(AP20&lt;45,AND(Amaliy!J20&lt;&gt;"",Amaliy!J20&lt;45)),"Yordam","Asosiy")))</f>
        <v/>
      </c>
    </row>
    <row r="21">
      <c r="A21" s="4" t="n">
        <v>16</v>
      </c>
      <c r="B21" s="4">
        <f>IF(Royxat!B17="","",Royxat!B17)</f>
        <v/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9">
        <f>IF(COUNTA($C21:$AF21)=0,"",SUMPRODUCT(--(UPPER(TRIM(C21:G21))=C$5:G$5)))</f>
        <v/>
      </c>
      <c r="AH21" s="9">
        <f>IF(COUNTA($C21:$AF21)=0,"",SUMPRODUCT(--(UPPER(TRIM(H21:L21))=H$5:L$5)))</f>
        <v/>
      </c>
      <c r="AI21" s="9">
        <f>IF(COUNTA($C21:$AF21)=0,"",SUMPRODUCT(--(UPPER(TRIM(M21:Q21))=M$5:Q$5)))</f>
        <v/>
      </c>
      <c r="AJ21" s="9">
        <f>IF(COUNTA($C21:$AF21)=0,"",SUMPRODUCT(--(UPPER(TRIM(R21:V21))=R$5:V$5)))</f>
        <v/>
      </c>
      <c r="AK21" s="9">
        <f>IF(COUNTA($C21:$AF21)=0,"",SUMPRODUCT(--(UPPER(TRIM(W21:AA21))=W$5:AA$5)))</f>
        <v/>
      </c>
      <c r="AL21" s="9">
        <f>IF(COUNTA($C21:$AF21)=0,"",SUMPRODUCT(--(UPPER(TRIM(AB21:AF21))=AB$5:AF$5)))</f>
        <v/>
      </c>
      <c r="AM21" s="9">
        <f>IF(AG21="","",ROUND((AG21+AH21+AI21)/15*100,0))</f>
        <v/>
      </c>
      <c r="AN21" s="9">
        <f>IF(AG21="","",ROUND((AJ21+AK21+AL21)/15*100,0))</f>
        <v/>
      </c>
      <c r="AO21" s="9">
        <f>IF(AG21="","",SUM(AG21:AL21))</f>
        <v/>
      </c>
      <c r="AP21" s="9">
        <f>IF(AO21="","",ROUND(AO21/30*100,0))</f>
        <v/>
      </c>
      <c r="AQ21" s="9">
        <f>IF(AP21="","",IF(AP21&gt;=Darajalar!$B$2,"Yuqori",IF(AP21&gt;=Darajalar!$B$3,"Yaxshi",IF(AP21&gt;=Darajalar!$B$4,"O‘rta","Boshlang‘ich"))))</f>
        <v/>
      </c>
      <c r="AR21" s="9">
        <f>IF(AP21="","",ROUND(AP21/10,0))</f>
        <v/>
      </c>
      <c r="AS21" s="9">
        <f>IF(AM21="","",IF(AM21&gt;=Darajalar!$B$3,"Mos",IF(AM21&gt;=Darajalar!$B$4,"Qisman mos","Mos emas")))</f>
        <v/>
      </c>
      <c r="AT21" s="9">
        <f>IF(AP21="","",IF(AND(AP21&gt;=75,OR(Amaliy!J21="",Amaliy!J21&gt;=75)),"Ilg‘or",IF(OR(AP21&lt;45,AND(Amaliy!J21&lt;&gt;"",Amaliy!J21&lt;45)),"Yordam","Asosiy")))</f>
        <v/>
      </c>
    </row>
    <row r="22">
      <c r="A22" s="4" t="n">
        <v>17</v>
      </c>
      <c r="B22" s="4">
        <f>IF(Royxat!B18="","",Royxat!B18)</f>
        <v/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9">
        <f>IF(COUNTA($C22:$AF22)=0,"",SUMPRODUCT(--(UPPER(TRIM(C22:G22))=C$5:G$5)))</f>
        <v/>
      </c>
      <c r="AH22" s="9">
        <f>IF(COUNTA($C22:$AF22)=0,"",SUMPRODUCT(--(UPPER(TRIM(H22:L22))=H$5:L$5)))</f>
        <v/>
      </c>
      <c r="AI22" s="9">
        <f>IF(COUNTA($C22:$AF22)=0,"",SUMPRODUCT(--(UPPER(TRIM(M22:Q22))=M$5:Q$5)))</f>
        <v/>
      </c>
      <c r="AJ22" s="9">
        <f>IF(COUNTA($C22:$AF22)=0,"",SUMPRODUCT(--(UPPER(TRIM(R22:V22))=R$5:V$5)))</f>
        <v/>
      </c>
      <c r="AK22" s="9">
        <f>IF(COUNTA($C22:$AF22)=0,"",SUMPRODUCT(--(UPPER(TRIM(W22:AA22))=W$5:AA$5)))</f>
        <v/>
      </c>
      <c r="AL22" s="9">
        <f>IF(COUNTA($C22:$AF22)=0,"",SUMPRODUCT(--(UPPER(TRIM(AB22:AF22))=AB$5:AF$5)))</f>
        <v/>
      </c>
      <c r="AM22" s="9">
        <f>IF(AG22="","",ROUND((AG22+AH22+AI22)/15*100,0))</f>
        <v/>
      </c>
      <c r="AN22" s="9">
        <f>IF(AG22="","",ROUND((AJ22+AK22+AL22)/15*100,0))</f>
        <v/>
      </c>
      <c r="AO22" s="9">
        <f>IF(AG22="","",SUM(AG22:AL22))</f>
        <v/>
      </c>
      <c r="AP22" s="9">
        <f>IF(AO22="","",ROUND(AO22/30*100,0))</f>
        <v/>
      </c>
      <c r="AQ22" s="9">
        <f>IF(AP22="","",IF(AP22&gt;=Darajalar!$B$2,"Yuqori",IF(AP22&gt;=Darajalar!$B$3,"Yaxshi",IF(AP22&gt;=Darajalar!$B$4,"O‘rta","Boshlang‘ich"))))</f>
        <v/>
      </c>
      <c r="AR22" s="9">
        <f>IF(AP22="","",ROUND(AP22/10,0))</f>
        <v/>
      </c>
      <c r="AS22" s="9">
        <f>IF(AM22="","",IF(AM22&gt;=Darajalar!$B$3,"Mos",IF(AM22&gt;=Darajalar!$B$4,"Qisman mos","Mos emas")))</f>
        <v/>
      </c>
      <c r="AT22" s="9">
        <f>IF(AP22="","",IF(AND(AP22&gt;=75,OR(Amaliy!J22="",Amaliy!J22&gt;=75)),"Ilg‘or",IF(OR(AP22&lt;45,AND(Amaliy!J22&lt;&gt;"",Amaliy!J22&lt;45)),"Yordam","Asosiy")))</f>
        <v/>
      </c>
    </row>
    <row r="23">
      <c r="A23" s="4" t="n">
        <v>18</v>
      </c>
      <c r="B23" s="4">
        <f>IF(Royxat!B19="","",Royxat!B19)</f>
        <v/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9">
        <f>IF(COUNTA($C23:$AF23)=0,"",SUMPRODUCT(--(UPPER(TRIM(C23:G23))=C$5:G$5)))</f>
        <v/>
      </c>
      <c r="AH23" s="9">
        <f>IF(COUNTA($C23:$AF23)=0,"",SUMPRODUCT(--(UPPER(TRIM(H23:L23))=H$5:L$5)))</f>
        <v/>
      </c>
      <c r="AI23" s="9">
        <f>IF(COUNTA($C23:$AF23)=0,"",SUMPRODUCT(--(UPPER(TRIM(M23:Q23))=M$5:Q$5)))</f>
        <v/>
      </c>
      <c r="AJ23" s="9">
        <f>IF(COUNTA($C23:$AF23)=0,"",SUMPRODUCT(--(UPPER(TRIM(R23:V23))=R$5:V$5)))</f>
        <v/>
      </c>
      <c r="AK23" s="9">
        <f>IF(COUNTA($C23:$AF23)=0,"",SUMPRODUCT(--(UPPER(TRIM(W23:AA23))=W$5:AA$5)))</f>
        <v/>
      </c>
      <c r="AL23" s="9">
        <f>IF(COUNTA($C23:$AF23)=0,"",SUMPRODUCT(--(UPPER(TRIM(AB23:AF23))=AB$5:AF$5)))</f>
        <v/>
      </c>
      <c r="AM23" s="9">
        <f>IF(AG23="","",ROUND((AG23+AH23+AI23)/15*100,0))</f>
        <v/>
      </c>
      <c r="AN23" s="9">
        <f>IF(AG23="","",ROUND((AJ23+AK23+AL23)/15*100,0))</f>
        <v/>
      </c>
      <c r="AO23" s="9">
        <f>IF(AG23="","",SUM(AG23:AL23))</f>
        <v/>
      </c>
      <c r="AP23" s="9">
        <f>IF(AO23="","",ROUND(AO23/30*100,0))</f>
        <v/>
      </c>
      <c r="AQ23" s="9">
        <f>IF(AP23="","",IF(AP23&gt;=Darajalar!$B$2,"Yuqori",IF(AP23&gt;=Darajalar!$B$3,"Yaxshi",IF(AP23&gt;=Darajalar!$B$4,"O‘rta","Boshlang‘ich"))))</f>
        <v/>
      </c>
      <c r="AR23" s="9">
        <f>IF(AP23="","",ROUND(AP23/10,0))</f>
        <v/>
      </c>
      <c r="AS23" s="9">
        <f>IF(AM23="","",IF(AM23&gt;=Darajalar!$B$3,"Mos",IF(AM23&gt;=Darajalar!$B$4,"Qisman mos","Mos emas")))</f>
        <v/>
      </c>
      <c r="AT23" s="9">
        <f>IF(AP23="","",IF(AND(AP23&gt;=75,OR(Amaliy!J23="",Amaliy!J23&gt;=75)),"Ilg‘or",IF(OR(AP23&lt;45,AND(Amaliy!J23&lt;&gt;"",Amaliy!J23&lt;45)),"Yordam","Asosiy")))</f>
        <v/>
      </c>
    </row>
    <row r="24">
      <c r="A24" s="4" t="n">
        <v>19</v>
      </c>
      <c r="B24" s="4">
        <f>IF(Royxat!B20="","",Royxat!B20)</f>
        <v/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9">
        <f>IF(COUNTA($C24:$AF24)=0,"",SUMPRODUCT(--(UPPER(TRIM(C24:G24))=C$5:G$5)))</f>
        <v/>
      </c>
      <c r="AH24" s="9">
        <f>IF(COUNTA($C24:$AF24)=0,"",SUMPRODUCT(--(UPPER(TRIM(H24:L24))=H$5:L$5)))</f>
        <v/>
      </c>
      <c r="AI24" s="9">
        <f>IF(COUNTA($C24:$AF24)=0,"",SUMPRODUCT(--(UPPER(TRIM(M24:Q24))=M$5:Q$5)))</f>
        <v/>
      </c>
      <c r="AJ24" s="9">
        <f>IF(COUNTA($C24:$AF24)=0,"",SUMPRODUCT(--(UPPER(TRIM(R24:V24))=R$5:V$5)))</f>
        <v/>
      </c>
      <c r="AK24" s="9">
        <f>IF(COUNTA($C24:$AF24)=0,"",SUMPRODUCT(--(UPPER(TRIM(W24:AA24))=W$5:AA$5)))</f>
        <v/>
      </c>
      <c r="AL24" s="9">
        <f>IF(COUNTA($C24:$AF24)=0,"",SUMPRODUCT(--(UPPER(TRIM(AB24:AF24))=AB$5:AF$5)))</f>
        <v/>
      </c>
      <c r="AM24" s="9">
        <f>IF(AG24="","",ROUND((AG24+AH24+AI24)/15*100,0))</f>
        <v/>
      </c>
      <c r="AN24" s="9">
        <f>IF(AG24="","",ROUND((AJ24+AK24+AL24)/15*100,0))</f>
        <v/>
      </c>
      <c r="AO24" s="9">
        <f>IF(AG24="","",SUM(AG24:AL24))</f>
        <v/>
      </c>
      <c r="AP24" s="9">
        <f>IF(AO24="","",ROUND(AO24/30*100,0))</f>
        <v/>
      </c>
      <c r="AQ24" s="9">
        <f>IF(AP24="","",IF(AP24&gt;=Darajalar!$B$2,"Yuqori",IF(AP24&gt;=Darajalar!$B$3,"Yaxshi",IF(AP24&gt;=Darajalar!$B$4,"O‘rta","Boshlang‘ich"))))</f>
        <v/>
      </c>
      <c r="AR24" s="9">
        <f>IF(AP24="","",ROUND(AP24/10,0))</f>
        <v/>
      </c>
      <c r="AS24" s="9">
        <f>IF(AM24="","",IF(AM24&gt;=Darajalar!$B$3,"Mos",IF(AM24&gt;=Darajalar!$B$4,"Qisman mos","Mos emas")))</f>
        <v/>
      </c>
      <c r="AT24" s="9">
        <f>IF(AP24="","",IF(AND(AP24&gt;=75,OR(Amaliy!J24="",Amaliy!J24&gt;=75)),"Ilg‘or",IF(OR(AP24&lt;45,AND(Amaliy!J24&lt;&gt;"",Amaliy!J24&lt;45)),"Yordam","Asosiy")))</f>
        <v/>
      </c>
    </row>
    <row r="25">
      <c r="A25" s="4" t="n">
        <v>20</v>
      </c>
      <c r="B25" s="4">
        <f>IF(Royxat!B21="","",Royxat!B21)</f>
        <v/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9">
        <f>IF(COUNTA($C25:$AF25)=0,"",SUMPRODUCT(--(UPPER(TRIM(C25:G25))=C$5:G$5)))</f>
        <v/>
      </c>
      <c r="AH25" s="9">
        <f>IF(COUNTA($C25:$AF25)=0,"",SUMPRODUCT(--(UPPER(TRIM(H25:L25))=H$5:L$5)))</f>
        <v/>
      </c>
      <c r="AI25" s="9">
        <f>IF(COUNTA($C25:$AF25)=0,"",SUMPRODUCT(--(UPPER(TRIM(M25:Q25))=M$5:Q$5)))</f>
        <v/>
      </c>
      <c r="AJ25" s="9">
        <f>IF(COUNTA($C25:$AF25)=0,"",SUMPRODUCT(--(UPPER(TRIM(R25:V25))=R$5:V$5)))</f>
        <v/>
      </c>
      <c r="AK25" s="9">
        <f>IF(COUNTA($C25:$AF25)=0,"",SUMPRODUCT(--(UPPER(TRIM(W25:AA25))=W$5:AA$5)))</f>
        <v/>
      </c>
      <c r="AL25" s="9">
        <f>IF(COUNTA($C25:$AF25)=0,"",SUMPRODUCT(--(UPPER(TRIM(AB25:AF25))=AB$5:AF$5)))</f>
        <v/>
      </c>
      <c r="AM25" s="9">
        <f>IF(AG25="","",ROUND((AG25+AH25+AI25)/15*100,0))</f>
        <v/>
      </c>
      <c r="AN25" s="9">
        <f>IF(AG25="","",ROUND((AJ25+AK25+AL25)/15*100,0))</f>
        <v/>
      </c>
      <c r="AO25" s="9">
        <f>IF(AG25="","",SUM(AG25:AL25))</f>
        <v/>
      </c>
      <c r="AP25" s="9">
        <f>IF(AO25="","",ROUND(AO25/30*100,0))</f>
        <v/>
      </c>
      <c r="AQ25" s="9">
        <f>IF(AP25="","",IF(AP25&gt;=Darajalar!$B$2,"Yuqori",IF(AP25&gt;=Darajalar!$B$3,"Yaxshi",IF(AP25&gt;=Darajalar!$B$4,"O‘rta","Boshlang‘ich"))))</f>
        <v/>
      </c>
      <c r="AR25" s="9">
        <f>IF(AP25="","",ROUND(AP25/10,0))</f>
        <v/>
      </c>
      <c r="AS25" s="9">
        <f>IF(AM25="","",IF(AM25&gt;=Darajalar!$B$3,"Mos",IF(AM25&gt;=Darajalar!$B$4,"Qisman mos","Mos emas")))</f>
        <v/>
      </c>
      <c r="AT25" s="9">
        <f>IF(AP25="","",IF(AND(AP25&gt;=75,OR(Amaliy!J25="",Amaliy!J25&gt;=75)),"Ilg‘or",IF(OR(AP25&lt;45,AND(Amaliy!J25&lt;&gt;"",Amaliy!J25&lt;45)),"Yordam","Asosiy")))</f>
        <v/>
      </c>
    </row>
    <row r="26">
      <c r="A26" s="4" t="n">
        <v>21</v>
      </c>
      <c r="B26" s="4">
        <f>IF(Royxat!B22="","",Royxat!B22)</f>
        <v/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9">
        <f>IF(COUNTA($C26:$AF26)=0,"",SUMPRODUCT(--(UPPER(TRIM(C26:G26))=C$5:G$5)))</f>
        <v/>
      </c>
      <c r="AH26" s="9">
        <f>IF(COUNTA($C26:$AF26)=0,"",SUMPRODUCT(--(UPPER(TRIM(H26:L26))=H$5:L$5)))</f>
        <v/>
      </c>
      <c r="AI26" s="9">
        <f>IF(COUNTA($C26:$AF26)=0,"",SUMPRODUCT(--(UPPER(TRIM(M26:Q26))=M$5:Q$5)))</f>
        <v/>
      </c>
      <c r="AJ26" s="9">
        <f>IF(COUNTA($C26:$AF26)=0,"",SUMPRODUCT(--(UPPER(TRIM(R26:V26))=R$5:V$5)))</f>
        <v/>
      </c>
      <c r="AK26" s="9">
        <f>IF(COUNTA($C26:$AF26)=0,"",SUMPRODUCT(--(UPPER(TRIM(W26:AA26))=W$5:AA$5)))</f>
        <v/>
      </c>
      <c r="AL26" s="9">
        <f>IF(COUNTA($C26:$AF26)=0,"",SUMPRODUCT(--(UPPER(TRIM(AB26:AF26))=AB$5:AF$5)))</f>
        <v/>
      </c>
      <c r="AM26" s="9">
        <f>IF(AG26="","",ROUND((AG26+AH26+AI26)/15*100,0))</f>
        <v/>
      </c>
      <c r="AN26" s="9">
        <f>IF(AG26="","",ROUND((AJ26+AK26+AL26)/15*100,0))</f>
        <v/>
      </c>
      <c r="AO26" s="9">
        <f>IF(AG26="","",SUM(AG26:AL26))</f>
        <v/>
      </c>
      <c r="AP26" s="9">
        <f>IF(AO26="","",ROUND(AO26/30*100,0))</f>
        <v/>
      </c>
      <c r="AQ26" s="9">
        <f>IF(AP26="","",IF(AP26&gt;=Darajalar!$B$2,"Yuqori",IF(AP26&gt;=Darajalar!$B$3,"Yaxshi",IF(AP26&gt;=Darajalar!$B$4,"O‘rta","Boshlang‘ich"))))</f>
        <v/>
      </c>
      <c r="AR26" s="9">
        <f>IF(AP26="","",ROUND(AP26/10,0))</f>
        <v/>
      </c>
      <c r="AS26" s="9">
        <f>IF(AM26="","",IF(AM26&gt;=Darajalar!$B$3,"Mos",IF(AM26&gt;=Darajalar!$B$4,"Qisman mos","Mos emas")))</f>
        <v/>
      </c>
      <c r="AT26" s="9">
        <f>IF(AP26="","",IF(AND(AP26&gt;=75,OR(Amaliy!J26="",Amaliy!J26&gt;=75)),"Ilg‘or",IF(OR(AP26&lt;45,AND(Amaliy!J26&lt;&gt;"",Amaliy!J26&lt;45)),"Yordam","Asosiy")))</f>
        <v/>
      </c>
    </row>
    <row r="27">
      <c r="A27" s="4" t="n">
        <v>22</v>
      </c>
      <c r="B27" s="4">
        <f>IF(Royxat!B23="","",Royxat!B23)</f>
        <v/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9">
        <f>IF(COUNTA($C27:$AF27)=0,"",SUMPRODUCT(--(UPPER(TRIM(C27:G27))=C$5:G$5)))</f>
        <v/>
      </c>
      <c r="AH27" s="9">
        <f>IF(COUNTA($C27:$AF27)=0,"",SUMPRODUCT(--(UPPER(TRIM(H27:L27))=H$5:L$5)))</f>
        <v/>
      </c>
      <c r="AI27" s="9">
        <f>IF(COUNTA($C27:$AF27)=0,"",SUMPRODUCT(--(UPPER(TRIM(M27:Q27))=M$5:Q$5)))</f>
        <v/>
      </c>
      <c r="AJ27" s="9">
        <f>IF(COUNTA($C27:$AF27)=0,"",SUMPRODUCT(--(UPPER(TRIM(R27:V27))=R$5:V$5)))</f>
        <v/>
      </c>
      <c r="AK27" s="9">
        <f>IF(COUNTA($C27:$AF27)=0,"",SUMPRODUCT(--(UPPER(TRIM(W27:AA27))=W$5:AA$5)))</f>
        <v/>
      </c>
      <c r="AL27" s="9">
        <f>IF(COUNTA($C27:$AF27)=0,"",SUMPRODUCT(--(UPPER(TRIM(AB27:AF27))=AB$5:AF$5)))</f>
        <v/>
      </c>
      <c r="AM27" s="9">
        <f>IF(AG27="","",ROUND((AG27+AH27+AI27)/15*100,0))</f>
        <v/>
      </c>
      <c r="AN27" s="9">
        <f>IF(AG27="","",ROUND((AJ27+AK27+AL27)/15*100,0))</f>
        <v/>
      </c>
      <c r="AO27" s="9">
        <f>IF(AG27="","",SUM(AG27:AL27))</f>
        <v/>
      </c>
      <c r="AP27" s="9">
        <f>IF(AO27="","",ROUND(AO27/30*100,0))</f>
        <v/>
      </c>
      <c r="AQ27" s="9">
        <f>IF(AP27="","",IF(AP27&gt;=Darajalar!$B$2,"Yuqori",IF(AP27&gt;=Darajalar!$B$3,"Yaxshi",IF(AP27&gt;=Darajalar!$B$4,"O‘rta","Boshlang‘ich"))))</f>
        <v/>
      </c>
      <c r="AR27" s="9">
        <f>IF(AP27="","",ROUND(AP27/10,0))</f>
        <v/>
      </c>
      <c r="AS27" s="9">
        <f>IF(AM27="","",IF(AM27&gt;=Darajalar!$B$3,"Mos",IF(AM27&gt;=Darajalar!$B$4,"Qisman mos","Mos emas")))</f>
        <v/>
      </c>
      <c r="AT27" s="9">
        <f>IF(AP27="","",IF(AND(AP27&gt;=75,OR(Amaliy!J27="",Amaliy!J27&gt;=75)),"Ilg‘or",IF(OR(AP27&lt;45,AND(Amaliy!J27&lt;&gt;"",Amaliy!J27&lt;45)),"Yordam","Asosiy")))</f>
        <v/>
      </c>
    </row>
    <row r="28">
      <c r="A28" s="4" t="n">
        <v>23</v>
      </c>
      <c r="B28" s="4">
        <f>IF(Royxat!B24="","",Royxat!B24)</f>
        <v/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9">
        <f>IF(COUNTA($C28:$AF28)=0,"",SUMPRODUCT(--(UPPER(TRIM(C28:G28))=C$5:G$5)))</f>
        <v/>
      </c>
      <c r="AH28" s="9">
        <f>IF(COUNTA($C28:$AF28)=0,"",SUMPRODUCT(--(UPPER(TRIM(H28:L28))=H$5:L$5)))</f>
        <v/>
      </c>
      <c r="AI28" s="9">
        <f>IF(COUNTA($C28:$AF28)=0,"",SUMPRODUCT(--(UPPER(TRIM(M28:Q28))=M$5:Q$5)))</f>
        <v/>
      </c>
      <c r="AJ28" s="9">
        <f>IF(COUNTA($C28:$AF28)=0,"",SUMPRODUCT(--(UPPER(TRIM(R28:V28))=R$5:V$5)))</f>
        <v/>
      </c>
      <c r="AK28" s="9">
        <f>IF(COUNTA($C28:$AF28)=0,"",SUMPRODUCT(--(UPPER(TRIM(W28:AA28))=W$5:AA$5)))</f>
        <v/>
      </c>
      <c r="AL28" s="9">
        <f>IF(COUNTA($C28:$AF28)=0,"",SUMPRODUCT(--(UPPER(TRIM(AB28:AF28))=AB$5:AF$5)))</f>
        <v/>
      </c>
      <c r="AM28" s="9">
        <f>IF(AG28="","",ROUND((AG28+AH28+AI28)/15*100,0))</f>
        <v/>
      </c>
      <c r="AN28" s="9">
        <f>IF(AG28="","",ROUND((AJ28+AK28+AL28)/15*100,0))</f>
        <v/>
      </c>
      <c r="AO28" s="9">
        <f>IF(AG28="","",SUM(AG28:AL28))</f>
        <v/>
      </c>
      <c r="AP28" s="9">
        <f>IF(AO28="","",ROUND(AO28/30*100,0))</f>
        <v/>
      </c>
      <c r="AQ28" s="9">
        <f>IF(AP28="","",IF(AP28&gt;=Darajalar!$B$2,"Yuqori",IF(AP28&gt;=Darajalar!$B$3,"Yaxshi",IF(AP28&gt;=Darajalar!$B$4,"O‘rta","Boshlang‘ich"))))</f>
        <v/>
      </c>
      <c r="AR28" s="9">
        <f>IF(AP28="","",ROUND(AP28/10,0))</f>
        <v/>
      </c>
      <c r="AS28" s="9">
        <f>IF(AM28="","",IF(AM28&gt;=Darajalar!$B$3,"Mos",IF(AM28&gt;=Darajalar!$B$4,"Qisman mos","Mos emas")))</f>
        <v/>
      </c>
      <c r="AT28" s="9">
        <f>IF(AP28="","",IF(AND(AP28&gt;=75,OR(Amaliy!J28="",Amaliy!J28&gt;=75)),"Ilg‘or",IF(OR(AP28&lt;45,AND(Amaliy!J28&lt;&gt;"",Amaliy!J28&lt;45)),"Yordam","Asosiy")))</f>
        <v/>
      </c>
    </row>
    <row r="29">
      <c r="A29" s="4" t="n">
        <v>24</v>
      </c>
      <c r="B29" s="4">
        <f>IF(Royxat!B25="","",Royxat!B25)</f>
        <v/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9">
        <f>IF(COUNTA($C29:$AF29)=0,"",SUMPRODUCT(--(UPPER(TRIM(C29:G29))=C$5:G$5)))</f>
        <v/>
      </c>
      <c r="AH29" s="9">
        <f>IF(COUNTA($C29:$AF29)=0,"",SUMPRODUCT(--(UPPER(TRIM(H29:L29))=H$5:L$5)))</f>
        <v/>
      </c>
      <c r="AI29" s="9">
        <f>IF(COUNTA($C29:$AF29)=0,"",SUMPRODUCT(--(UPPER(TRIM(M29:Q29))=M$5:Q$5)))</f>
        <v/>
      </c>
      <c r="AJ29" s="9">
        <f>IF(COUNTA($C29:$AF29)=0,"",SUMPRODUCT(--(UPPER(TRIM(R29:V29))=R$5:V$5)))</f>
        <v/>
      </c>
      <c r="AK29" s="9">
        <f>IF(COUNTA($C29:$AF29)=0,"",SUMPRODUCT(--(UPPER(TRIM(W29:AA29))=W$5:AA$5)))</f>
        <v/>
      </c>
      <c r="AL29" s="9">
        <f>IF(COUNTA($C29:$AF29)=0,"",SUMPRODUCT(--(UPPER(TRIM(AB29:AF29))=AB$5:AF$5)))</f>
        <v/>
      </c>
      <c r="AM29" s="9">
        <f>IF(AG29="","",ROUND((AG29+AH29+AI29)/15*100,0))</f>
        <v/>
      </c>
      <c r="AN29" s="9">
        <f>IF(AG29="","",ROUND((AJ29+AK29+AL29)/15*100,0))</f>
        <v/>
      </c>
      <c r="AO29" s="9">
        <f>IF(AG29="","",SUM(AG29:AL29))</f>
        <v/>
      </c>
      <c r="AP29" s="9">
        <f>IF(AO29="","",ROUND(AO29/30*100,0))</f>
        <v/>
      </c>
      <c r="AQ29" s="9">
        <f>IF(AP29="","",IF(AP29&gt;=Darajalar!$B$2,"Yuqori",IF(AP29&gt;=Darajalar!$B$3,"Yaxshi",IF(AP29&gt;=Darajalar!$B$4,"O‘rta","Boshlang‘ich"))))</f>
        <v/>
      </c>
      <c r="AR29" s="9">
        <f>IF(AP29="","",ROUND(AP29/10,0))</f>
        <v/>
      </c>
      <c r="AS29" s="9">
        <f>IF(AM29="","",IF(AM29&gt;=Darajalar!$B$3,"Mos",IF(AM29&gt;=Darajalar!$B$4,"Qisman mos","Mos emas")))</f>
        <v/>
      </c>
      <c r="AT29" s="9">
        <f>IF(AP29="","",IF(AND(AP29&gt;=75,OR(Amaliy!J29="",Amaliy!J29&gt;=75)),"Ilg‘or",IF(OR(AP29&lt;45,AND(Amaliy!J29&lt;&gt;"",Amaliy!J29&lt;45)),"Yordam","Asosiy")))</f>
        <v/>
      </c>
    </row>
    <row r="30">
      <c r="A30" s="4" t="n">
        <v>25</v>
      </c>
      <c r="B30" s="4">
        <f>IF(Royxat!B26="","",Royxat!B26)</f>
        <v/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9">
        <f>IF(COUNTA($C30:$AF30)=0,"",SUMPRODUCT(--(UPPER(TRIM(C30:G30))=C$5:G$5)))</f>
        <v/>
      </c>
      <c r="AH30" s="9">
        <f>IF(COUNTA($C30:$AF30)=0,"",SUMPRODUCT(--(UPPER(TRIM(H30:L30))=H$5:L$5)))</f>
        <v/>
      </c>
      <c r="AI30" s="9">
        <f>IF(COUNTA($C30:$AF30)=0,"",SUMPRODUCT(--(UPPER(TRIM(M30:Q30))=M$5:Q$5)))</f>
        <v/>
      </c>
      <c r="AJ30" s="9">
        <f>IF(COUNTA($C30:$AF30)=0,"",SUMPRODUCT(--(UPPER(TRIM(R30:V30))=R$5:V$5)))</f>
        <v/>
      </c>
      <c r="AK30" s="9">
        <f>IF(COUNTA($C30:$AF30)=0,"",SUMPRODUCT(--(UPPER(TRIM(W30:AA30))=W$5:AA$5)))</f>
        <v/>
      </c>
      <c r="AL30" s="9">
        <f>IF(COUNTA($C30:$AF30)=0,"",SUMPRODUCT(--(UPPER(TRIM(AB30:AF30))=AB$5:AF$5)))</f>
        <v/>
      </c>
      <c r="AM30" s="9">
        <f>IF(AG30="","",ROUND((AG30+AH30+AI30)/15*100,0))</f>
        <v/>
      </c>
      <c r="AN30" s="9">
        <f>IF(AG30="","",ROUND((AJ30+AK30+AL30)/15*100,0))</f>
        <v/>
      </c>
      <c r="AO30" s="9">
        <f>IF(AG30="","",SUM(AG30:AL30))</f>
        <v/>
      </c>
      <c r="AP30" s="9">
        <f>IF(AO30="","",ROUND(AO30/30*100,0))</f>
        <v/>
      </c>
      <c r="AQ30" s="9">
        <f>IF(AP30="","",IF(AP30&gt;=Darajalar!$B$2,"Yuqori",IF(AP30&gt;=Darajalar!$B$3,"Yaxshi",IF(AP30&gt;=Darajalar!$B$4,"O‘rta","Boshlang‘ich"))))</f>
        <v/>
      </c>
      <c r="AR30" s="9">
        <f>IF(AP30="","",ROUND(AP30/10,0))</f>
        <v/>
      </c>
      <c r="AS30" s="9">
        <f>IF(AM30="","",IF(AM30&gt;=Darajalar!$B$3,"Mos",IF(AM30&gt;=Darajalar!$B$4,"Qisman mos","Mos emas")))</f>
        <v/>
      </c>
      <c r="AT30" s="9">
        <f>IF(AP30="","",IF(AND(AP30&gt;=75,OR(Amaliy!J30="",Amaliy!J30&gt;=75)),"Ilg‘or",IF(OR(AP30&lt;45,AND(Amaliy!J30&lt;&gt;"",Amaliy!J30&lt;45)),"Yordam","Asosiy")))</f>
        <v/>
      </c>
    </row>
    <row r="31">
      <c r="A31" s="4" t="n">
        <v>26</v>
      </c>
      <c r="B31" s="4">
        <f>IF(Royxat!B27="","",Royxat!B27)</f>
        <v/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9">
        <f>IF(COUNTA($C31:$AF31)=0,"",SUMPRODUCT(--(UPPER(TRIM(C31:G31))=C$5:G$5)))</f>
        <v/>
      </c>
      <c r="AH31" s="9">
        <f>IF(COUNTA($C31:$AF31)=0,"",SUMPRODUCT(--(UPPER(TRIM(H31:L31))=H$5:L$5)))</f>
        <v/>
      </c>
      <c r="AI31" s="9">
        <f>IF(COUNTA($C31:$AF31)=0,"",SUMPRODUCT(--(UPPER(TRIM(M31:Q31))=M$5:Q$5)))</f>
        <v/>
      </c>
      <c r="AJ31" s="9">
        <f>IF(COUNTA($C31:$AF31)=0,"",SUMPRODUCT(--(UPPER(TRIM(R31:V31))=R$5:V$5)))</f>
        <v/>
      </c>
      <c r="AK31" s="9">
        <f>IF(COUNTA($C31:$AF31)=0,"",SUMPRODUCT(--(UPPER(TRIM(W31:AA31))=W$5:AA$5)))</f>
        <v/>
      </c>
      <c r="AL31" s="9">
        <f>IF(COUNTA($C31:$AF31)=0,"",SUMPRODUCT(--(UPPER(TRIM(AB31:AF31))=AB$5:AF$5)))</f>
        <v/>
      </c>
      <c r="AM31" s="9">
        <f>IF(AG31="","",ROUND((AG31+AH31+AI31)/15*100,0))</f>
        <v/>
      </c>
      <c r="AN31" s="9">
        <f>IF(AG31="","",ROUND((AJ31+AK31+AL31)/15*100,0))</f>
        <v/>
      </c>
      <c r="AO31" s="9">
        <f>IF(AG31="","",SUM(AG31:AL31))</f>
        <v/>
      </c>
      <c r="AP31" s="9">
        <f>IF(AO31="","",ROUND(AO31/30*100,0))</f>
        <v/>
      </c>
      <c r="AQ31" s="9">
        <f>IF(AP31="","",IF(AP31&gt;=Darajalar!$B$2,"Yuqori",IF(AP31&gt;=Darajalar!$B$3,"Yaxshi",IF(AP31&gt;=Darajalar!$B$4,"O‘rta","Boshlang‘ich"))))</f>
        <v/>
      </c>
      <c r="AR31" s="9">
        <f>IF(AP31="","",ROUND(AP31/10,0))</f>
        <v/>
      </c>
      <c r="AS31" s="9">
        <f>IF(AM31="","",IF(AM31&gt;=Darajalar!$B$3,"Mos",IF(AM31&gt;=Darajalar!$B$4,"Qisman mos","Mos emas")))</f>
        <v/>
      </c>
      <c r="AT31" s="9">
        <f>IF(AP31="","",IF(AND(AP31&gt;=75,OR(Amaliy!J31="",Amaliy!J31&gt;=75)),"Ilg‘or",IF(OR(AP31&lt;45,AND(Amaliy!J31&lt;&gt;"",Amaliy!J31&lt;45)),"Yordam","Asosiy")))</f>
        <v/>
      </c>
    </row>
    <row r="32">
      <c r="A32" s="4" t="n">
        <v>27</v>
      </c>
      <c r="B32" s="4">
        <f>IF(Royxat!B28="","",Royxat!B28)</f>
        <v/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9">
        <f>IF(COUNTA($C32:$AF32)=0,"",SUMPRODUCT(--(UPPER(TRIM(C32:G32))=C$5:G$5)))</f>
        <v/>
      </c>
      <c r="AH32" s="9">
        <f>IF(COUNTA($C32:$AF32)=0,"",SUMPRODUCT(--(UPPER(TRIM(H32:L32))=H$5:L$5)))</f>
        <v/>
      </c>
      <c r="AI32" s="9">
        <f>IF(COUNTA($C32:$AF32)=0,"",SUMPRODUCT(--(UPPER(TRIM(M32:Q32))=M$5:Q$5)))</f>
        <v/>
      </c>
      <c r="AJ32" s="9">
        <f>IF(COUNTA($C32:$AF32)=0,"",SUMPRODUCT(--(UPPER(TRIM(R32:V32))=R$5:V$5)))</f>
        <v/>
      </c>
      <c r="AK32" s="9">
        <f>IF(COUNTA($C32:$AF32)=0,"",SUMPRODUCT(--(UPPER(TRIM(W32:AA32))=W$5:AA$5)))</f>
        <v/>
      </c>
      <c r="AL32" s="9">
        <f>IF(COUNTA($C32:$AF32)=0,"",SUMPRODUCT(--(UPPER(TRIM(AB32:AF32))=AB$5:AF$5)))</f>
        <v/>
      </c>
      <c r="AM32" s="9">
        <f>IF(AG32="","",ROUND((AG32+AH32+AI32)/15*100,0))</f>
        <v/>
      </c>
      <c r="AN32" s="9">
        <f>IF(AG32="","",ROUND((AJ32+AK32+AL32)/15*100,0))</f>
        <v/>
      </c>
      <c r="AO32" s="9">
        <f>IF(AG32="","",SUM(AG32:AL32))</f>
        <v/>
      </c>
      <c r="AP32" s="9">
        <f>IF(AO32="","",ROUND(AO32/30*100,0))</f>
        <v/>
      </c>
      <c r="AQ32" s="9">
        <f>IF(AP32="","",IF(AP32&gt;=Darajalar!$B$2,"Yuqori",IF(AP32&gt;=Darajalar!$B$3,"Yaxshi",IF(AP32&gt;=Darajalar!$B$4,"O‘rta","Boshlang‘ich"))))</f>
        <v/>
      </c>
      <c r="AR32" s="9">
        <f>IF(AP32="","",ROUND(AP32/10,0))</f>
        <v/>
      </c>
      <c r="AS32" s="9">
        <f>IF(AM32="","",IF(AM32&gt;=Darajalar!$B$3,"Mos",IF(AM32&gt;=Darajalar!$B$4,"Qisman mos","Mos emas")))</f>
        <v/>
      </c>
      <c r="AT32" s="9">
        <f>IF(AP32="","",IF(AND(AP32&gt;=75,OR(Amaliy!J32="",Amaliy!J32&gt;=75)),"Ilg‘or",IF(OR(AP32&lt;45,AND(Amaliy!J32&lt;&gt;"",Amaliy!J32&lt;45)),"Yordam","Asosiy")))</f>
        <v/>
      </c>
    </row>
    <row r="33">
      <c r="A33" s="4" t="n">
        <v>28</v>
      </c>
      <c r="B33" s="4">
        <f>IF(Royxat!B29="","",Royxat!B29)</f>
        <v/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9">
        <f>IF(COUNTA($C33:$AF33)=0,"",SUMPRODUCT(--(UPPER(TRIM(C33:G33))=C$5:G$5)))</f>
        <v/>
      </c>
      <c r="AH33" s="9">
        <f>IF(COUNTA($C33:$AF33)=0,"",SUMPRODUCT(--(UPPER(TRIM(H33:L33))=H$5:L$5)))</f>
        <v/>
      </c>
      <c r="AI33" s="9">
        <f>IF(COUNTA($C33:$AF33)=0,"",SUMPRODUCT(--(UPPER(TRIM(M33:Q33))=M$5:Q$5)))</f>
        <v/>
      </c>
      <c r="AJ33" s="9">
        <f>IF(COUNTA($C33:$AF33)=0,"",SUMPRODUCT(--(UPPER(TRIM(R33:V33))=R$5:V$5)))</f>
        <v/>
      </c>
      <c r="AK33" s="9">
        <f>IF(COUNTA($C33:$AF33)=0,"",SUMPRODUCT(--(UPPER(TRIM(W33:AA33))=W$5:AA$5)))</f>
        <v/>
      </c>
      <c r="AL33" s="9">
        <f>IF(COUNTA($C33:$AF33)=0,"",SUMPRODUCT(--(UPPER(TRIM(AB33:AF33))=AB$5:AF$5)))</f>
        <v/>
      </c>
      <c r="AM33" s="9">
        <f>IF(AG33="","",ROUND((AG33+AH33+AI33)/15*100,0))</f>
        <v/>
      </c>
      <c r="AN33" s="9">
        <f>IF(AG33="","",ROUND((AJ33+AK33+AL33)/15*100,0))</f>
        <v/>
      </c>
      <c r="AO33" s="9">
        <f>IF(AG33="","",SUM(AG33:AL33))</f>
        <v/>
      </c>
      <c r="AP33" s="9">
        <f>IF(AO33="","",ROUND(AO33/30*100,0))</f>
        <v/>
      </c>
      <c r="AQ33" s="9">
        <f>IF(AP33="","",IF(AP33&gt;=Darajalar!$B$2,"Yuqori",IF(AP33&gt;=Darajalar!$B$3,"Yaxshi",IF(AP33&gt;=Darajalar!$B$4,"O‘rta","Boshlang‘ich"))))</f>
        <v/>
      </c>
      <c r="AR33" s="9">
        <f>IF(AP33="","",ROUND(AP33/10,0))</f>
        <v/>
      </c>
      <c r="AS33" s="9">
        <f>IF(AM33="","",IF(AM33&gt;=Darajalar!$B$3,"Mos",IF(AM33&gt;=Darajalar!$B$4,"Qisman mos","Mos emas")))</f>
        <v/>
      </c>
      <c r="AT33" s="9">
        <f>IF(AP33="","",IF(AND(AP33&gt;=75,OR(Amaliy!J33="",Amaliy!J33&gt;=75)),"Ilg‘or",IF(OR(AP33&lt;45,AND(Amaliy!J33&lt;&gt;"",Amaliy!J33&lt;45)),"Yordam","Asosiy")))</f>
        <v/>
      </c>
    </row>
    <row r="34">
      <c r="A34" s="4" t="n">
        <v>29</v>
      </c>
      <c r="B34" s="4">
        <f>IF(Royxat!B30="","",Royxat!B30)</f>
        <v/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9">
        <f>IF(COUNTA($C34:$AF34)=0,"",SUMPRODUCT(--(UPPER(TRIM(C34:G34))=C$5:G$5)))</f>
        <v/>
      </c>
      <c r="AH34" s="9">
        <f>IF(COUNTA($C34:$AF34)=0,"",SUMPRODUCT(--(UPPER(TRIM(H34:L34))=H$5:L$5)))</f>
        <v/>
      </c>
      <c r="AI34" s="9">
        <f>IF(COUNTA($C34:$AF34)=0,"",SUMPRODUCT(--(UPPER(TRIM(M34:Q34))=M$5:Q$5)))</f>
        <v/>
      </c>
      <c r="AJ34" s="9">
        <f>IF(COUNTA($C34:$AF34)=0,"",SUMPRODUCT(--(UPPER(TRIM(R34:V34))=R$5:V$5)))</f>
        <v/>
      </c>
      <c r="AK34" s="9">
        <f>IF(COUNTA($C34:$AF34)=0,"",SUMPRODUCT(--(UPPER(TRIM(W34:AA34))=W$5:AA$5)))</f>
        <v/>
      </c>
      <c r="AL34" s="9">
        <f>IF(COUNTA($C34:$AF34)=0,"",SUMPRODUCT(--(UPPER(TRIM(AB34:AF34))=AB$5:AF$5)))</f>
        <v/>
      </c>
      <c r="AM34" s="9">
        <f>IF(AG34="","",ROUND((AG34+AH34+AI34)/15*100,0))</f>
        <v/>
      </c>
      <c r="AN34" s="9">
        <f>IF(AG34="","",ROUND((AJ34+AK34+AL34)/15*100,0))</f>
        <v/>
      </c>
      <c r="AO34" s="9">
        <f>IF(AG34="","",SUM(AG34:AL34))</f>
        <v/>
      </c>
      <c r="AP34" s="9">
        <f>IF(AO34="","",ROUND(AO34/30*100,0))</f>
        <v/>
      </c>
      <c r="AQ34" s="9">
        <f>IF(AP34="","",IF(AP34&gt;=Darajalar!$B$2,"Yuqori",IF(AP34&gt;=Darajalar!$B$3,"Yaxshi",IF(AP34&gt;=Darajalar!$B$4,"O‘rta","Boshlang‘ich"))))</f>
        <v/>
      </c>
      <c r="AR34" s="9">
        <f>IF(AP34="","",ROUND(AP34/10,0))</f>
        <v/>
      </c>
      <c r="AS34" s="9">
        <f>IF(AM34="","",IF(AM34&gt;=Darajalar!$B$3,"Mos",IF(AM34&gt;=Darajalar!$B$4,"Qisman mos","Mos emas")))</f>
        <v/>
      </c>
      <c r="AT34" s="9">
        <f>IF(AP34="","",IF(AND(AP34&gt;=75,OR(Amaliy!J34="",Amaliy!J34&gt;=75)),"Ilg‘or",IF(OR(AP34&lt;45,AND(Amaliy!J34&lt;&gt;"",Amaliy!J34&lt;45)),"Yordam","Asosiy")))</f>
        <v/>
      </c>
    </row>
    <row r="35">
      <c r="A35" s="4" t="n">
        <v>30</v>
      </c>
      <c r="B35" s="4">
        <f>IF(Royxat!B31="","",Royxat!B31)</f>
        <v/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9">
        <f>IF(COUNTA($C35:$AF35)=0,"",SUMPRODUCT(--(UPPER(TRIM(C35:G35))=C$5:G$5)))</f>
        <v/>
      </c>
      <c r="AH35" s="9">
        <f>IF(COUNTA($C35:$AF35)=0,"",SUMPRODUCT(--(UPPER(TRIM(H35:L35))=H$5:L$5)))</f>
        <v/>
      </c>
      <c r="AI35" s="9">
        <f>IF(COUNTA($C35:$AF35)=0,"",SUMPRODUCT(--(UPPER(TRIM(M35:Q35))=M$5:Q$5)))</f>
        <v/>
      </c>
      <c r="AJ35" s="9">
        <f>IF(COUNTA($C35:$AF35)=0,"",SUMPRODUCT(--(UPPER(TRIM(R35:V35))=R$5:V$5)))</f>
        <v/>
      </c>
      <c r="AK35" s="9">
        <f>IF(COUNTA($C35:$AF35)=0,"",SUMPRODUCT(--(UPPER(TRIM(W35:AA35))=W$5:AA$5)))</f>
        <v/>
      </c>
      <c r="AL35" s="9">
        <f>IF(COUNTA($C35:$AF35)=0,"",SUMPRODUCT(--(UPPER(TRIM(AB35:AF35))=AB$5:AF$5)))</f>
        <v/>
      </c>
      <c r="AM35" s="9">
        <f>IF(AG35="","",ROUND((AG35+AH35+AI35)/15*100,0))</f>
        <v/>
      </c>
      <c r="AN35" s="9">
        <f>IF(AG35="","",ROUND((AJ35+AK35+AL35)/15*100,0))</f>
        <v/>
      </c>
      <c r="AO35" s="9">
        <f>IF(AG35="","",SUM(AG35:AL35))</f>
        <v/>
      </c>
      <c r="AP35" s="9">
        <f>IF(AO35="","",ROUND(AO35/30*100,0))</f>
        <v/>
      </c>
      <c r="AQ35" s="9">
        <f>IF(AP35="","",IF(AP35&gt;=Darajalar!$B$2,"Yuqori",IF(AP35&gt;=Darajalar!$B$3,"Yaxshi",IF(AP35&gt;=Darajalar!$B$4,"O‘rta","Boshlang‘ich"))))</f>
        <v/>
      </c>
      <c r="AR35" s="9">
        <f>IF(AP35="","",ROUND(AP35/10,0))</f>
        <v/>
      </c>
      <c r="AS35" s="9">
        <f>IF(AM35="","",IF(AM35&gt;=Darajalar!$B$3,"Mos",IF(AM35&gt;=Darajalar!$B$4,"Qisman mos","Mos emas")))</f>
        <v/>
      </c>
      <c r="AT35" s="9">
        <f>IF(AP35="","",IF(AND(AP35&gt;=75,OR(Amaliy!J35="",Amaliy!J35&gt;=75)),"Ilg‘or",IF(OR(AP35&lt;45,AND(Amaliy!J35&lt;&gt;"",Amaliy!J35&lt;45)),"Yordam","Asosiy")))</f>
        <v/>
      </c>
    </row>
    <row r="36">
      <c r="A36" s="4" t="n">
        <v>31</v>
      </c>
      <c r="B36" s="4">
        <f>IF(Royxat!B32="","",Royxat!B32)</f>
        <v/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9">
        <f>IF(COUNTA($C36:$AF36)=0,"",SUMPRODUCT(--(UPPER(TRIM(C36:G36))=C$5:G$5)))</f>
        <v/>
      </c>
      <c r="AH36" s="9">
        <f>IF(COUNTA($C36:$AF36)=0,"",SUMPRODUCT(--(UPPER(TRIM(H36:L36))=H$5:L$5)))</f>
        <v/>
      </c>
      <c r="AI36" s="9">
        <f>IF(COUNTA($C36:$AF36)=0,"",SUMPRODUCT(--(UPPER(TRIM(M36:Q36))=M$5:Q$5)))</f>
        <v/>
      </c>
      <c r="AJ36" s="9">
        <f>IF(COUNTA($C36:$AF36)=0,"",SUMPRODUCT(--(UPPER(TRIM(R36:V36))=R$5:V$5)))</f>
        <v/>
      </c>
      <c r="AK36" s="9">
        <f>IF(COUNTA($C36:$AF36)=0,"",SUMPRODUCT(--(UPPER(TRIM(W36:AA36))=W$5:AA$5)))</f>
        <v/>
      </c>
      <c r="AL36" s="9">
        <f>IF(COUNTA($C36:$AF36)=0,"",SUMPRODUCT(--(UPPER(TRIM(AB36:AF36))=AB$5:AF$5)))</f>
        <v/>
      </c>
      <c r="AM36" s="9">
        <f>IF(AG36="","",ROUND((AG36+AH36+AI36)/15*100,0))</f>
        <v/>
      </c>
      <c r="AN36" s="9">
        <f>IF(AG36="","",ROUND((AJ36+AK36+AL36)/15*100,0))</f>
        <v/>
      </c>
      <c r="AO36" s="9">
        <f>IF(AG36="","",SUM(AG36:AL36))</f>
        <v/>
      </c>
      <c r="AP36" s="9">
        <f>IF(AO36="","",ROUND(AO36/30*100,0))</f>
        <v/>
      </c>
      <c r="AQ36" s="9">
        <f>IF(AP36="","",IF(AP36&gt;=Darajalar!$B$2,"Yuqori",IF(AP36&gt;=Darajalar!$B$3,"Yaxshi",IF(AP36&gt;=Darajalar!$B$4,"O‘rta","Boshlang‘ich"))))</f>
        <v/>
      </c>
      <c r="AR36" s="9">
        <f>IF(AP36="","",ROUND(AP36/10,0))</f>
        <v/>
      </c>
      <c r="AS36" s="9">
        <f>IF(AM36="","",IF(AM36&gt;=Darajalar!$B$3,"Mos",IF(AM36&gt;=Darajalar!$B$4,"Qisman mos","Mos emas")))</f>
        <v/>
      </c>
      <c r="AT36" s="9">
        <f>IF(AP36="","",IF(AND(AP36&gt;=75,OR(Amaliy!J36="",Amaliy!J36&gt;=75)),"Ilg‘or",IF(OR(AP36&lt;45,AND(Amaliy!J36&lt;&gt;"",Amaliy!J36&lt;45)),"Yordam","Asosiy")))</f>
        <v/>
      </c>
    </row>
    <row r="37">
      <c r="A37" s="4" t="n">
        <v>32</v>
      </c>
      <c r="B37" s="4">
        <f>IF(Royxat!B33="","",Royxat!B33)</f>
        <v/>
      </c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9">
        <f>IF(COUNTA($C37:$AF37)=0,"",SUMPRODUCT(--(UPPER(TRIM(C37:G37))=C$5:G$5)))</f>
        <v/>
      </c>
      <c r="AH37" s="9">
        <f>IF(COUNTA($C37:$AF37)=0,"",SUMPRODUCT(--(UPPER(TRIM(H37:L37))=H$5:L$5)))</f>
        <v/>
      </c>
      <c r="AI37" s="9">
        <f>IF(COUNTA($C37:$AF37)=0,"",SUMPRODUCT(--(UPPER(TRIM(M37:Q37))=M$5:Q$5)))</f>
        <v/>
      </c>
      <c r="AJ37" s="9">
        <f>IF(COUNTA($C37:$AF37)=0,"",SUMPRODUCT(--(UPPER(TRIM(R37:V37))=R$5:V$5)))</f>
        <v/>
      </c>
      <c r="AK37" s="9">
        <f>IF(COUNTA($C37:$AF37)=0,"",SUMPRODUCT(--(UPPER(TRIM(W37:AA37))=W$5:AA$5)))</f>
        <v/>
      </c>
      <c r="AL37" s="9">
        <f>IF(COUNTA($C37:$AF37)=0,"",SUMPRODUCT(--(UPPER(TRIM(AB37:AF37))=AB$5:AF$5)))</f>
        <v/>
      </c>
      <c r="AM37" s="9">
        <f>IF(AG37="","",ROUND((AG37+AH37+AI37)/15*100,0))</f>
        <v/>
      </c>
      <c r="AN37" s="9">
        <f>IF(AG37="","",ROUND((AJ37+AK37+AL37)/15*100,0))</f>
        <v/>
      </c>
      <c r="AO37" s="9">
        <f>IF(AG37="","",SUM(AG37:AL37))</f>
        <v/>
      </c>
      <c r="AP37" s="9">
        <f>IF(AO37="","",ROUND(AO37/30*100,0))</f>
        <v/>
      </c>
      <c r="AQ37" s="9">
        <f>IF(AP37="","",IF(AP37&gt;=Darajalar!$B$2,"Yuqori",IF(AP37&gt;=Darajalar!$B$3,"Yaxshi",IF(AP37&gt;=Darajalar!$B$4,"O‘rta","Boshlang‘ich"))))</f>
        <v/>
      </c>
      <c r="AR37" s="9">
        <f>IF(AP37="","",ROUND(AP37/10,0))</f>
        <v/>
      </c>
      <c r="AS37" s="9">
        <f>IF(AM37="","",IF(AM37&gt;=Darajalar!$B$3,"Mos",IF(AM37&gt;=Darajalar!$B$4,"Qisman mos","Mos emas")))</f>
        <v/>
      </c>
      <c r="AT37" s="9">
        <f>IF(AP37="","",IF(AND(AP37&gt;=75,OR(Amaliy!J37="",Amaliy!J37&gt;=75)),"Ilg‘or",IF(OR(AP37&lt;45,AND(Amaliy!J37&lt;&gt;"",Amaliy!J37&lt;45)),"Yordam","Asosiy")))</f>
        <v/>
      </c>
    </row>
    <row r="38">
      <c r="A38" s="4" t="n">
        <v>33</v>
      </c>
      <c r="B38" s="4">
        <f>IF(Royxat!B34="","",Royxat!B34)</f>
        <v/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9">
        <f>IF(COUNTA($C38:$AF38)=0,"",SUMPRODUCT(--(UPPER(TRIM(C38:G38))=C$5:G$5)))</f>
        <v/>
      </c>
      <c r="AH38" s="9">
        <f>IF(COUNTA($C38:$AF38)=0,"",SUMPRODUCT(--(UPPER(TRIM(H38:L38))=H$5:L$5)))</f>
        <v/>
      </c>
      <c r="AI38" s="9">
        <f>IF(COUNTA($C38:$AF38)=0,"",SUMPRODUCT(--(UPPER(TRIM(M38:Q38))=M$5:Q$5)))</f>
        <v/>
      </c>
      <c r="AJ38" s="9">
        <f>IF(COUNTA($C38:$AF38)=0,"",SUMPRODUCT(--(UPPER(TRIM(R38:V38))=R$5:V$5)))</f>
        <v/>
      </c>
      <c r="AK38" s="9">
        <f>IF(COUNTA($C38:$AF38)=0,"",SUMPRODUCT(--(UPPER(TRIM(W38:AA38))=W$5:AA$5)))</f>
        <v/>
      </c>
      <c r="AL38" s="9">
        <f>IF(COUNTA($C38:$AF38)=0,"",SUMPRODUCT(--(UPPER(TRIM(AB38:AF38))=AB$5:AF$5)))</f>
        <v/>
      </c>
      <c r="AM38" s="9">
        <f>IF(AG38="","",ROUND((AG38+AH38+AI38)/15*100,0))</f>
        <v/>
      </c>
      <c r="AN38" s="9">
        <f>IF(AG38="","",ROUND((AJ38+AK38+AL38)/15*100,0))</f>
        <v/>
      </c>
      <c r="AO38" s="9">
        <f>IF(AG38="","",SUM(AG38:AL38))</f>
        <v/>
      </c>
      <c r="AP38" s="9">
        <f>IF(AO38="","",ROUND(AO38/30*100,0))</f>
        <v/>
      </c>
      <c r="AQ38" s="9">
        <f>IF(AP38="","",IF(AP38&gt;=Darajalar!$B$2,"Yuqori",IF(AP38&gt;=Darajalar!$B$3,"Yaxshi",IF(AP38&gt;=Darajalar!$B$4,"O‘rta","Boshlang‘ich"))))</f>
        <v/>
      </c>
      <c r="AR38" s="9">
        <f>IF(AP38="","",ROUND(AP38/10,0))</f>
        <v/>
      </c>
      <c r="AS38" s="9">
        <f>IF(AM38="","",IF(AM38&gt;=Darajalar!$B$3,"Mos",IF(AM38&gt;=Darajalar!$B$4,"Qisman mos","Mos emas")))</f>
        <v/>
      </c>
      <c r="AT38" s="9">
        <f>IF(AP38="","",IF(AND(AP38&gt;=75,OR(Amaliy!J38="",Amaliy!J38&gt;=75)),"Ilg‘or",IF(OR(AP38&lt;45,AND(Amaliy!J38&lt;&gt;"",Amaliy!J38&lt;45)),"Yordam","Asosiy")))</f>
        <v/>
      </c>
    </row>
    <row r="39">
      <c r="A39" s="4" t="n">
        <v>34</v>
      </c>
      <c r="B39" s="4">
        <f>IF(Royxat!B35="","",Royxat!B35)</f>
        <v/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9">
        <f>IF(COUNTA($C39:$AF39)=0,"",SUMPRODUCT(--(UPPER(TRIM(C39:G39))=C$5:G$5)))</f>
        <v/>
      </c>
      <c r="AH39" s="9">
        <f>IF(COUNTA($C39:$AF39)=0,"",SUMPRODUCT(--(UPPER(TRIM(H39:L39))=H$5:L$5)))</f>
        <v/>
      </c>
      <c r="AI39" s="9">
        <f>IF(COUNTA($C39:$AF39)=0,"",SUMPRODUCT(--(UPPER(TRIM(M39:Q39))=M$5:Q$5)))</f>
        <v/>
      </c>
      <c r="AJ39" s="9">
        <f>IF(COUNTA($C39:$AF39)=0,"",SUMPRODUCT(--(UPPER(TRIM(R39:V39))=R$5:V$5)))</f>
        <v/>
      </c>
      <c r="AK39" s="9">
        <f>IF(COUNTA($C39:$AF39)=0,"",SUMPRODUCT(--(UPPER(TRIM(W39:AA39))=W$5:AA$5)))</f>
        <v/>
      </c>
      <c r="AL39" s="9">
        <f>IF(COUNTA($C39:$AF39)=0,"",SUMPRODUCT(--(UPPER(TRIM(AB39:AF39))=AB$5:AF$5)))</f>
        <v/>
      </c>
      <c r="AM39" s="9">
        <f>IF(AG39="","",ROUND((AG39+AH39+AI39)/15*100,0))</f>
        <v/>
      </c>
      <c r="AN39" s="9">
        <f>IF(AG39="","",ROUND((AJ39+AK39+AL39)/15*100,0))</f>
        <v/>
      </c>
      <c r="AO39" s="9">
        <f>IF(AG39="","",SUM(AG39:AL39))</f>
        <v/>
      </c>
      <c r="AP39" s="9">
        <f>IF(AO39="","",ROUND(AO39/30*100,0))</f>
        <v/>
      </c>
      <c r="AQ39" s="9">
        <f>IF(AP39="","",IF(AP39&gt;=Darajalar!$B$2,"Yuqori",IF(AP39&gt;=Darajalar!$B$3,"Yaxshi",IF(AP39&gt;=Darajalar!$B$4,"O‘rta","Boshlang‘ich"))))</f>
        <v/>
      </c>
      <c r="AR39" s="9">
        <f>IF(AP39="","",ROUND(AP39/10,0))</f>
        <v/>
      </c>
      <c r="AS39" s="9">
        <f>IF(AM39="","",IF(AM39&gt;=Darajalar!$B$3,"Mos",IF(AM39&gt;=Darajalar!$B$4,"Qisman mos","Mos emas")))</f>
        <v/>
      </c>
      <c r="AT39" s="9">
        <f>IF(AP39="","",IF(AND(AP39&gt;=75,OR(Amaliy!J39="",Amaliy!J39&gt;=75)),"Ilg‘or",IF(OR(AP39&lt;45,AND(Amaliy!J39&lt;&gt;"",Amaliy!J39&lt;45)),"Yordam","Asosiy")))</f>
        <v/>
      </c>
    </row>
    <row r="40">
      <c r="A40" s="4" t="n">
        <v>35</v>
      </c>
      <c r="B40" s="4">
        <f>IF(Royxat!B36="","",Royxat!B36)</f>
        <v/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9">
        <f>IF(COUNTA($C40:$AF40)=0,"",SUMPRODUCT(--(UPPER(TRIM(C40:G40))=C$5:G$5)))</f>
        <v/>
      </c>
      <c r="AH40" s="9">
        <f>IF(COUNTA($C40:$AF40)=0,"",SUMPRODUCT(--(UPPER(TRIM(H40:L40))=H$5:L$5)))</f>
        <v/>
      </c>
      <c r="AI40" s="9">
        <f>IF(COUNTA($C40:$AF40)=0,"",SUMPRODUCT(--(UPPER(TRIM(M40:Q40))=M$5:Q$5)))</f>
        <v/>
      </c>
      <c r="AJ40" s="9">
        <f>IF(COUNTA($C40:$AF40)=0,"",SUMPRODUCT(--(UPPER(TRIM(R40:V40))=R$5:V$5)))</f>
        <v/>
      </c>
      <c r="AK40" s="9">
        <f>IF(COUNTA($C40:$AF40)=0,"",SUMPRODUCT(--(UPPER(TRIM(W40:AA40))=W$5:AA$5)))</f>
        <v/>
      </c>
      <c r="AL40" s="9">
        <f>IF(COUNTA($C40:$AF40)=0,"",SUMPRODUCT(--(UPPER(TRIM(AB40:AF40))=AB$5:AF$5)))</f>
        <v/>
      </c>
      <c r="AM40" s="9">
        <f>IF(AG40="","",ROUND((AG40+AH40+AI40)/15*100,0))</f>
        <v/>
      </c>
      <c r="AN40" s="9">
        <f>IF(AG40="","",ROUND((AJ40+AK40+AL40)/15*100,0))</f>
        <v/>
      </c>
      <c r="AO40" s="9">
        <f>IF(AG40="","",SUM(AG40:AL40))</f>
        <v/>
      </c>
      <c r="AP40" s="9">
        <f>IF(AO40="","",ROUND(AO40/30*100,0))</f>
        <v/>
      </c>
      <c r="AQ40" s="9">
        <f>IF(AP40="","",IF(AP40&gt;=Darajalar!$B$2,"Yuqori",IF(AP40&gt;=Darajalar!$B$3,"Yaxshi",IF(AP40&gt;=Darajalar!$B$4,"O‘rta","Boshlang‘ich"))))</f>
        <v/>
      </c>
      <c r="AR40" s="9">
        <f>IF(AP40="","",ROUND(AP40/10,0))</f>
        <v/>
      </c>
      <c r="AS40" s="9">
        <f>IF(AM40="","",IF(AM40&gt;=Darajalar!$B$3,"Mos",IF(AM40&gt;=Darajalar!$B$4,"Qisman mos","Mos emas")))</f>
        <v/>
      </c>
      <c r="AT40" s="9">
        <f>IF(AP40="","",IF(AND(AP40&gt;=75,OR(Amaliy!J40="",Amaliy!J40&gt;=75)),"Ilg‘or",IF(OR(AP40&lt;45,AND(Amaliy!J40&lt;&gt;"",Amaliy!J40&lt;45)),"Yordam","Asosiy")))</f>
        <v/>
      </c>
    </row>
    <row r="42">
      <c r="B42" s="2" t="inlineStr">
        <is>
          <t>Sinf o‘rtacha</t>
        </is>
      </c>
      <c r="AG42" s="2">
        <f>IFERROR(ROUND(AVERAGE(AG6:AG40),1),"")</f>
        <v/>
      </c>
      <c r="AH42" s="2">
        <f>IFERROR(ROUND(AVERAGE(AH6:AH40),1),"")</f>
        <v/>
      </c>
      <c r="AI42" s="2">
        <f>IFERROR(ROUND(AVERAGE(AI6:AI40),1),"")</f>
        <v/>
      </c>
      <c r="AJ42" s="2">
        <f>IFERROR(ROUND(AVERAGE(AJ6:AJ40),1),"")</f>
        <v/>
      </c>
      <c r="AK42" s="2">
        <f>IFERROR(ROUND(AVERAGE(AK6:AK40),1),"")</f>
        <v/>
      </c>
      <c r="AL42" s="2">
        <f>IFERROR(ROUND(AVERAGE(AL6:AL40),1),"")</f>
        <v/>
      </c>
      <c r="AM42" s="2">
        <f>IFERROR(ROUND(AVERAGE(AM6:AM40),1),"")</f>
        <v/>
      </c>
      <c r="AN42" s="2">
        <f>IFERROR(ROUND(AVERAGE(AN6:AN40),1),"")</f>
        <v/>
      </c>
      <c r="AO42" s="2">
        <f>IFERROR(ROUND(AVERAGE(AO6:AO40),1),"")</f>
        <v/>
      </c>
      <c r="AP42" s="2">
        <f>IFERROR(ROUND(AVERAGE(AP6:AP40),1),"")</f>
        <v/>
      </c>
      <c r="AR42" s="2">
        <f>IFERROR(ROUND(AVERAGE(AR6:AR40),1),"")</f>
        <v/>
      </c>
    </row>
    <row r="43">
      <c r="B43" s="2" t="inlineStr">
        <is>
          <t>Savol bo‘yicha to‘g‘ri %</t>
        </is>
      </c>
      <c r="C43" s="10">
        <f>IF(COUNT($AP$6:$AP$40)=0,"",ROUND(SUMPRODUCT(--(UPPER(TRIM(C$6:C$40))=C$5))/COUNT($AP$6:$AP$40)*100,0))</f>
        <v/>
      </c>
      <c r="D43" s="10">
        <f>IF(COUNT($AP$6:$AP$40)=0,"",ROUND(SUMPRODUCT(--(UPPER(TRIM(D$6:D$40))=D$5))/COUNT($AP$6:$AP$40)*100,0))</f>
        <v/>
      </c>
      <c r="E43" s="10">
        <f>IF(COUNT($AP$6:$AP$40)=0,"",ROUND(SUMPRODUCT(--(UPPER(TRIM(E$6:E$40))=E$5))/COUNT($AP$6:$AP$40)*100,0))</f>
        <v/>
      </c>
      <c r="F43" s="10">
        <f>IF(COUNT($AP$6:$AP$40)=0,"",ROUND(SUMPRODUCT(--(UPPER(TRIM(F$6:F$40))=F$5))/COUNT($AP$6:$AP$40)*100,0))</f>
        <v/>
      </c>
      <c r="G43" s="10">
        <f>IF(COUNT($AP$6:$AP$40)=0,"",ROUND(SUMPRODUCT(--(UPPER(TRIM(G$6:G$40))=G$5))/COUNT($AP$6:$AP$40)*100,0))</f>
        <v/>
      </c>
      <c r="H43" s="10">
        <f>IF(COUNT($AP$6:$AP$40)=0,"",ROUND(SUMPRODUCT(--(UPPER(TRIM(H$6:H$40))=H$5))/COUNT($AP$6:$AP$40)*100,0))</f>
        <v/>
      </c>
      <c r="I43" s="10">
        <f>IF(COUNT($AP$6:$AP$40)=0,"",ROUND(SUMPRODUCT(--(UPPER(TRIM(I$6:I$40))=I$5))/COUNT($AP$6:$AP$40)*100,0))</f>
        <v/>
      </c>
      <c r="J43" s="10">
        <f>IF(COUNT($AP$6:$AP$40)=0,"",ROUND(SUMPRODUCT(--(UPPER(TRIM(J$6:J$40))=J$5))/COUNT($AP$6:$AP$40)*100,0))</f>
        <v/>
      </c>
      <c r="K43" s="10">
        <f>IF(COUNT($AP$6:$AP$40)=0,"",ROUND(SUMPRODUCT(--(UPPER(TRIM(K$6:K$40))=K$5))/COUNT($AP$6:$AP$40)*100,0))</f>
        <v/>
      </c>
      <c r="L43" s="10">
        <f>IF(COUNT($AP$6:$AP$40)=0,"",ROUND(SUMPRODUCT(--(UPPER(TRIM(L$6:L$40))=L$5))/COUNT($AP$6:$AP$40)*100,0))</f>
        <v/>
      </c>
      <c r="M43" s="10">
        <f>IF(COUNT($AP$6:$AP$40)=0,"",ROUND(SUMPRODUCT(--(UPPER(TRIM(M$6:M$40))=M$5))/COUNT($AP$6:$AP$40)*100,0))</f>
        <v/>
      </c>
      <c r="N43" s="10">
        <f>IF(COUNT($AP$6:$AP$40)=0,"",ROUND(SUMPRODUCT(--(UPPER(TRIM(N$6:N$40))=N$5))/COUNT($AP$6:$AP$40)*100,0))</f>
        <v/>
      </c>
      <c r="O43" s="10">
        <f>IF(COUNT($AP$6:$AP$40)=0,"",ROUND(SUMPRODUCT(--(UPPER(TRIM(O$6:O$40))=O$5))/COUNT($AP$6:$AP$40)*100,0))</f>
        <v/>
      </c>
      <c r="P43" s="10">
        <f>IF(COUNT($AP$6:$AP$40)=0,"",ROUND(SUMPRODUCT(--(UPPER(TRIM(P$6:P$40))=P$5))/COUNT($AP$6:$AP$40)*100,0))</f>
        <v/>
      </c>
      <c r="Q43" s="10">
        <f>IF(COUNT($AP$6:$AP$40)=0,"",ROUND(SUMPRODUCT(--(UPPER(TRIM(Q$6:Q$40))=Q$5))/COUNT($AP$6:$AP$40)*100,0))</f>
        <v/>
      </c>
      <c r="R43" s="10">
        <f>IF(COUNT($AP$6:$AP$40)=0,"",ROUND(SUMPRODUCT(--(UPPER(TRIM(R$6:R$40))=R$5))/COUNT($AP$6:$AP$40)*100,0))</f>
        <v/>
      </c>
      <c r="S43" s="10">
        <f>IF(COUNT($AP$6:$AP$40)=0,"",ROUND(SUMPRODUCT(--(UPPER(TRIM(S$6:S$40))=S$5))/COUNT($AP$6:$AP$40)*100,0))</f>
        <v/>
      </c>
      <c r="T43" s="10">
        <f>IF(COUNT($AP$6:$AP$40)=0,"",ROUND(SUMPRODUCT(--(UPPER(TRIM(T$6:T$40))=T$5))/COUNT($AP$6:$AP$40)*100,0))</f>
        <v/>
      </c>
      <c r="U43" s="10">
        <f>IF(COUNT($AP$6:$AP$40)=0,"",ROUND(SUMPRODUCT(--(UPPER(TRIM(U$6:U$40))=U$5))/COUNT($AP$6:$AP$40)*100,0))</f>
        <v/>
      </c>
      <c r="V43" s="10">
        <f>IF(COUNT($AP$6:$AP$40)=0,"",ROUND(SUMPRODUCT(--(UPPER(TRIM(V$6:V$40))=V$5))/COUNT($AP$6:$AP$40)*100,0))</f>
        <v/>
      </c>
      <c r="W43" s="10">
        <f>IF(COUNT($AP$6:$AP$40)=0,"",ROUND(SUMPRODUCT(--(UPPER(TRIM(W$6:W$40))=W$5))/COUNT($AP$6:$AP$40)*100,0))</f>
        <v/>
      </c>
      <c r="X43" s="10">
        <f>IF(COUNT($AP$6:$AP$40)=0,"",ROUND(SUMPRODUCT(--(UPPER(TRIM(X$6:X$40))=X$5))/COUNT($AP$6:$AP$40)*100,0))</f>
        <v/>
      </c>
      <c r="Y43" s="10">
        <f>IF(COUNT($AP$6:$AP$40)=0,"",ROUND(SUMPRODUCT(--(UPPER(TRIM(Y$6:Y$40))=Y$5))/COUNT($AP$6:$AP$40)*100,0))</f>
        <v/>
      </c>
      <c r="Z43" s="10">
        <f>IF(COUNT($AP$6:$AP$40)=0,"",ROUND(SUMPRODUCT(--(UPPER(TRIM(Z$6:Z$40))=Z$5))/COUNT($AP$6:$AP$40)*100,0))</f>
        <v/>
      </c>
      <c r="AA43" s="10">
        <f>IF(COUNT($AP$6:$AP$40)=0,"",ROUND(SUMPRODUCT(--(UPPER(TRIM(AA$6:AA$40))=AA$5))/COUNT($AP$6:$AP$40)*100,0))</f>
        <v/>
      </c>
      <c r="AB43" s="10">
        <f>IF(COUNT($AP$6:$AP$40)=0,"",ROUND(SUMPRODUCT(--(UPPER(TRIM(AB$6:AB$40))=AB$5))/COUNT($AP$6:$AP$40)*100,0))</f>
        <v/>
      </c>
      <c r="AC43" s="10">
        <f>IF(COUNT($AP$6:$AP$40)=0,"",ROUND(SUMPRODUCT(--(UPPER(TRIM(AC$6:AC$40))=AC$5))/COUNT($AP$6:$AP$40)*100,0))</f>
        <v/>
      </c>
      <c r="AD43" s="10">
        <f>IF(COUNT($AP$6:$AP$40)=0,"",ROUND(SUMPRODUCT(--(UPPER(TRIM(AD$6:AD$40))=AD$5))/COUNT($AP$6:$AP$40)*100,0))</f>
        <v/>
      </c>
      <c r="AE43" s="10">
        <f>IF(COUNT($AP$6:$AP$40)=0,"",ROUND(SUMPRODUCT(--(UPPER(TRIM(AE$6:AE$40))=AE$5))/COUNT($AP$6:$AP$40)*100,0))</f>
        <v/>
      </c>
      <c r="AF43" s="10">
        <f>IF(COUNT($AP$6:$AP$40)=0,"",ROUND(SUMPRODUCT(--(UPPER(TRIM(AF$6:AF$40))=AF$5))/COUNT($AP$6:$AP$40)*100,0))</f>
        <v/>
      </c>
    </row>
    <row r="44">
      <c r="B44" s="11" t="inlineStr">
        <is>
          <t>40 % dan past (qizil) savollar — butun sinf uchun qiyin mavzu.</t>
        </is>
      </c>
    </row>
  </sheetData>
  <mergeCells count="6">
    <mergeCell ref="AB3:AF3"/>
    <mergeCell ref="H3:L3"/>
    <mergeCell ref="R3:V3"/>
    <mergeCell ref="W3:AA3"/>
    <mergeCell ref="M3:Q3"/>
    <mergeCell ref="C3:G3"/>
  </mergeCells>
  <conditionalFormatting sqref="C43:AF43">
    <cfRule type="expression" priority="1" dxfId="0">
      <formula>AND(C43&lt;&gt;"",C43&lt;40)</formula>
    </cfRule>
  </conditionalFormatting>
  <conditionalFormatting sqref="C6:AF40">
    <cfRule type="expression" priority="2" dxfId="1">
      <formula>AND(C6&lt;&gt;"",UPPER(TRIM(C6))=C$5)</formula>
    </cfRule>
    <cfRule type="expression" priority="3" dxfId="0">
      <formula>AND(C6&lt;&gt;"",UPPER(TRIM(C6))&lt;&gt;C$5)</formula>
    </cfRule>
  </conditionalFormatting>
  <conditionalFormatting sqref="AQ6:AQ40">
    <cfRule type="cellIs" priority="4" operator="equal" dxfId="1">
      <formula>"Yuqori"</formula>
    </cfRule>
    <cfRule type="cellIs" priority="5" operator="equal" dxfId="2">
      <formula>"Yaxshi"</formula>
    </cfRule>
    <cfRule type="cellIs" priority="6" operator="equal" dxfId="3">
      <formula>"O‘rta"</formula>
    </cfRule>
    <cfRule type="cellIs" priority="7" operator="equal" dxfId="0">
      <formula>"Boshlang‘ich"</formula>
    </cfRule>
  </conditionalFormatting>
  <conditionalFormatting sqref="AS6:AS40">
    <cfRule type="cellIs" priority="8" operator="equal" dxfId="1">
      <formula>"Mos"</formula>
    </cfRule>
    <cfRule type="cellIs" priority="9" operator="equal" dxfId="3">
      <formula>"Qisman mos"</formula>
    </cfRule>
    <cfRule type="cellIs" priority="10" operator="equal" dxfId="0">
      <formula>"Mos emas"</formula>
    </cfRule>
  </conditionalFormatting>
  <conditionalFormatting sqref="AT6:AT40">
    <cfRule type="cellIs" priority="11" operator="equal" dxfId="1">
      <formula>"Ilg‘or"</formula>
    </cfRule>
    <cfRule type="cellIs" priority="12" operator="equal" dxfId="2">
      <formula>"Asosiy"</formula>
    </cfRule>
    <cfRule type="cellIs" priority="13" operator="equal" dxfId="0">
      <formula>"Yordam"</formula>
    </cfRule>
  </conditionalFormatting>
  <dataValidations count="1">
    <dataValidation sqref="C6:AF40" showDropDown="0" showInputMessage="0" showErrorMessage="1" allowBlank="1" errorTitle="Javob" error="Faqat A, B, C yoki D yozing." type="list" errorStyle="warning">
      <formula1>"A,B,C,D"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2" t="inlineStr">
        <is>
          <t>7A — Amaliy topshiriq (07_amaliy_topshiriq.md). Har topshiriq: 0, 1 yoki 2 ball. Bajarilmagan topshiriqni bo‘sh qoldiring.</t>
        </is>
      </c>
    </row>
    <row r="3">
      <c r="C3" s="3" t="inlineStr">
        <is>
          <t>1-bosqich (oktabr)</t>
        </is>
      </c>
      <c r="D3" s="3" t="n"/>
      <c r="E3" s="3" t="n"/>
      <c r="F3" s="3" t="n"/>
      <c r="G3" s="3" t="n"/>
      <c r="H3" s="3" t="n"/>
      <c r="I3" s="3" t="n"/>
      <c r="J3" s="3" t="n"/>
      <c r="K3" s="3" t="inlineStr">
        <is>
          <t>2-bosqich (yanvar)</t>
        </is>
      </c>
      <c r="L3" s="3" t="n"/>
      <c r="M3" s="3" t="n"/>
      <c r="N3" s="3" t="n"/>
      <c r="O3" s="3" t="n"/>
      <c r="P3" s="3" t="n"/>
      <c r="Q3" s="3" t="n"/>
      <c r="R3" s="3" t="n"/>
      <c r="T3" s="3" t="inlineStr">
        <is>
          <t>Yozish tezligi (belgi/daq)</t>
        </is>
      </c>
      <c r="U3" s="3" t="n"/>
      <c r="V3" s="3" t="n"/>
    </row>
    <row r="4" ht="30" customHeight="1">
      <c r="A4" s="3" t="inlineStr">
        <is>
          <t>№</t>
        </is>
      </c>
      <c r="B4" s="3" t="inlineStr">
        <is>
          <t>F.I.Sh.</t>
        </is>
      </c>
      <c r="C4" s="3" t="inlineStr">
        <is>
          <t>1. Papka</t>
        </is>
      </c>
      <c r="D4" s="3" t="inlineStr">
        <is>
          <t>2. Tezlik</t>
        </is>
      </c>
      <c r="E4" s="3" t="inlineStr">
        <is>
          <t>3. Bezash</t>
        </is>
      </c>
      <c r="F4" s="3" t="inlineStr">
        <is>
          <t>4. Saqlash</t>
        </is>
      </c>
      <c r="G4" s="3" t="inlineStr">
        <is>
          <t>5. Scratch</t>
        </is>
      </c>
      <c r="H4" s="3" t="inlineStr">
        <is>
          <t>6. Internet</t>
        </is>
      </c>
      <c r="I4" s="3" t="inlineStr">
        <is>
          <t>Ball</t>
        </is>
      </c>
      <c r="J4" s="3" t="inlineStr">
        <is>
          <t>%</t>
        </is>
      </c>
      <c r="K4" s="3" t="inlineStr">
        <is>
          <t>1. Papka</t>
        </is>
      </c>
      <c r="L4" s="3" t="inlineStr">
        <is>
          <t>2. Tezlik</t>
        </is>
      </c>
      <c r="M4" s="3" t="inlineStr">
        <is>
          <t>3. Bezash</t>
        </is>
      </c>
      <c r="N4" s="3" t="inlineStr">
        <is>
          <t>4. Saqlash</t>
        </is>
      </c>
      <c r="O4" s="3" t="inlineStr">
        <is>
          <t>5. Scratch</t>
        </is>
      </c>
      <c r="P4" s="3" t="inlineStr">
        <is>
          <t>6. Internet</t>
        </is>
      </c>
      <c r="Q4" s="3" t="inlineStr">
        <is>
          <t>Ball</t>
        </is>
      </c>
      <c r="R4" s="3" t="inlineStr">
        <is>
          <t>%</t>
        </is>
      </c>
      <c r="S4" s="3" t="inlineStr">
        <is>
          <t>O‘sish (%)</t>
        </is>
      </c>
      <c r="T4" s="3" t="inlineStr">
        <is>
          <t>Oktabr</t>
        </is>
      </c>
      <c r="U4" s="3" t="inlineStr">
        <is>
          <t>Yanvar</t>
        </is>
      </c>
      <c r="V4" s="3" t="inlineStr">
        <is>
          <t>O‘sish</t>
        </is>
      </c>
    </row>
    <row r="6">
      <c r="A6" s="4" t="n">
        <v>1</v>
      </c>
      <c r="B6" s="4">
        <f>IF(Royxat!B2="","",Royxat!B2)</f>
        <v/>
      </c>
      <c r="C6" s="8" t="n"/>
      <c r="D6" s="8" t="n"/>
      <c r="E6" s="8" t="n"/>
      <c r="F6" s="8" t="n"/>
      <c r="G6" s="8" t="n"/>
      <c r="H6" s="8" t="n"/>
      <c r="I6" s="9">
        <f>IF(COUNT(C6:H6)=0,"",SUM(C6:H6))</f>
        <v/>
      </c>
      <c r="J6" s="9">
        <f>IF(I6="","",ROUND(I6/(COUNT(C6:H6)*2)*100,0))</f>
        <v/>
      </c>
      <c r="K6" s="8" t="n"/>
      <c r="L6" s="8" t="n"/>
      <c r="M6" s="8" t="n"/>
      <c r="N6" s="8" t="n"/>
      <c r="O6" s="8" t="n"/>
      <c r="P6" s="8" t="n"/>
      <c r="Q6" s="9">
        <f>IF(COUNT(K6:P6)=0,"",SUM(K6:P6))</f>
        <v/>
      </c>
      <c r="R6" s="9">
        <f>IF(Q6="","",ROUND(Q6/(COUNT(K6:P6)*2)*100,0))</f>
        <v/>
      </c>
      <c r="S6" s="9">
        <f>IF(OR(J6="",R6=""),"",R6-J6)</f>
        <v/>
      </c>
      <c r="T6" s="8" t="n"/>
      <c r="U6" s="8" t="n"/>
      <c r="V6" s="9">
        <f>IF(OR(T6="",U6=""),"",U6-T6)</f>
        <v/>
      </c>
    </row>
    <row r="7">
      <c r="A7" s="4" t="n">
        <v>2</v>
      </c>
      <c r="B7" s="4">
        <f>IF(Royxat!B3="","",Royxat!B3)</f>
        <v/>
      </c>
      <c r="C7" s="8" t="n"/>
      <c r="D7" s="8" t="n"/>
      <c r="E7" s="8" t="n"/>
      <c r="F7" s="8" t="n"/>
      <c r="G7" s="8" t="n"/>
      <c r="H7" s="8" t="n"/>
      <c r="I7" s="9">
        <f>IF(COUNT(C7:H7)=0,"",SUM(C7:H7))</f>
        <v/>
      </c>
      <c r="J7" s="9">
        <f>IF(I7="","",ROUND(I7/(COUNT(C7:H7)*2)*100,0))</f>
        <v/>
      </c>
      <c r="K7" s="8" t="n"/>
      <c r="L7" s="8" t="n"/>
      <c r="M7" s="8" t="n"/>
      <c r="N7" s="8" t="n"/>
      <c r="O7" s="8" t="n"/>
      <c r="P7" s="8" t="n"/>
      <c r="Q7" s="9">
        <f>IF(COUNT(K7:P7)=0,"",SUM(K7:P7))</f>
        <v/>
      </c>
      <c r="R7" s="9">
        <f>IF(Q7="","",ROUND(Q7/(COUNT(K7:P7)*2)*100,0))</f>
        <v/>
      </c>
      <c r="S7" s="9">
        <f>IF(OR(J7="",R7=""),"",R7-J7)</f>
        <v/>
      </c>
      <c r="T7" s="8" t="n"/>
      <c r="U7" s="8" t="n"/>
      <c r="V7" s="9">
        <f>IF(OR(T7="",U7=""),"",U7-T7)</f>
        <v/>
      </c>
    </row>
    <row r="8">
      <c r="A8" s="4" t="n">
        <v>3</v>
      </c>
      <c r="B8" s="4">
        <f>IF(Royxat!B4="","",Royxat!B4)</f>
        <v/>
      </c>
      <c r="C8" s="8" t="n"/>
      <c r="D8" s="8" t="n"/>
      <c r="E8" s="8" t="n"/>
      <c r="F8" s="8" t="n"/>
      <c r="G8" s="8" t="n"/>
      <c r="H8" s="8" t="n"/>
      <c r="I8" s="9">
        <f>IF(COUNT(C8:H8)=0,"",SUM(C8:H8))</f>
        <v/>
      </c>
      <c r="J8" s="9">
        <f>IF(I8="","",ROUND(I8/(COUNT(C8:H8)*2)*100,0))</f>
        <v/>
      </c>
      <c r="K8" s="8" t="n"/>
      <c r="L8" s="8" t="n"/>
      <c r="M8" s="8" t="n"/>
      <c r="N8" s="8" t="n"/>
      <c r="O8" s="8" t="n"/>
      <c r="P8" s="8" t="n"/>
      <c r="Q8" s="9">
        <f>IF(COUNT(K8:P8)=0,"",SUM(K8:P8))</f>
        <v/>
      </c>
      <c r="R8" s="9">
        <f>IF(Q8="","",ROUND(Q8/(COUNT(K8:P8)*2)*100,0))</f>
        <v/>
      </c>
      <c r="S8" s="9">
        <f>IF(OR(J8="",R8=""),"",R8-J8)</f>
        <v/>
      </c>
      <c r="T8" s="8" t="n"/>
      <c r="U8" s="8" t="n"/>
      <c r="V8" s="9">
        <f>IF(OR(T8="",U8=""),"",U8-T8)</f>
        <v/>
      </c>
    </row>
    <row r="9">
      <c r="A9" s="4" t="n">
        <v>4</v>
      </c>
      <c r="B9" s="4">
        <f>IF(Royxat!B5="","",Royxat!B5)</f>
        <v/>
      </c>
      <c r="C9" s="8" t="n"/>
      <c r="D9" s="8" t="n"/>
      <c r="E9" s="8" t="n"/>
      <c r="F9" s="8" t="n"/>
      <c r="G9" s="8" t="n"/>
      <c r="H9" s="8" t="n"/>
      <c r="I9" s="9">
        <f>IF(COUNT(C9:H9)=0,"",SUM(C9:H9))</f>
        <v/>
      </c>
      <c r="J9" s="9">
        <f>IF(I9="","",ROUND(I9/(COUNT(C9:H9)*2)*100,0))</f>
        <v/>
      </c>
      <c r="K9" s="8" t="n"/>
      <c r="L9" s="8" t="n"/>
      <c r="M9" s="8" t="n"/>
      <c r="N9" s="8" t="n"/>
      <c r="O9" s="8" t="n"/>
      <c r="P9" s="8" t="n"/>
      <c r="Q9" s="9">
        <f>IF(COUNT(K9:P9)=0,"",SUM(K9:P9))</f>
        <v/>
      </c>
      <c r="R9" s="9">
        <f>IF(Q9="","",ROUND(Q9/(COUNT(K9:P9)*2)*100,0))</f>
        <v/>
      </c>
      <c r="S9" s="9">
        <f>IF(OR(J9="",R9=""),"",R9-J9)</f>
        <v/>
      </c>
      <c r="T9" s="8" t="n"/>
      <c r="U9" s="8" t="n"/>
      <c r="V9" s="9">
        <f>IF(OR(T9="",U9=""),"",U9-T9)</f>
        <v/>
      </c>
    </row>
    <row r="10">
      <c r="A10" s="4" t="n">
        <v>5</v>
      </c>
      <c r="B10" s="4">
        <f>IF(Royxat!B6="","",Royxat!B6)</f>
        <v/>
      </c>
      <c r="C10" s="8" t="n"/>
      <c r="D10" s="8" t="n"/>
      <c r="E10" s="8" t="n"/>
      <c r="F10" s="8" t="n"/>
      <c r="G10" s="8" t="n"/>
      <c r="H10" s="8" t="n"/>
      <c r="I10" s="9">
        <f>IF(COUNT(C10:H10)=0,"",SUM(C10:H10))</f>
        <v/>
      </c>
      <c r="J10" s="9">
        <f>IF(I10="","",ROUND(I10/(COUNT(C10:H10)*2)*100,0))</f>
        <v/>
      </c>
      <c r="K10" s="8" t="n"/>
      <c r="L10" s="8" t="n"/>
      <c r="M10" s="8" t="n"/>
      <c r="N10" s="8" t="n"/>
      <c r="O10" s="8" t="n"/>
      <c r="P10" s="8" t="n"/>
      <c r="Q10" s="9">
        <f>IF(COUNT(K10:P10)=0,"",SUM(K10:P10))</f>
        <v/>
      </c>
      <c r="R10" s="9">
        <f>IF(Q10="","",ROUND(Q10/(COUNT(K10:P10)*2)*100,0))</f>
        <v/>
      </c>
      <c r="S10" s="9">
        <f>IF(OR(J10="",R10=""),"",R10-J10)</f>
        <v/>
      </c>
      <c r="T10" s="8" t="n"/>
      <c r="U10" s="8" t="n"/>
      <c r="V10" s="9">
        <f>IF(OR(T10="",U10=""),"",U10-T10)</f>
        <v/>
      </c>
    </row>
    <row r="11">
      <c r="A11" s="4" t="n">
        <v>6</v>
      </c>
      <c r="B11" s="4">
        <f>IF(Royxat!B7="","",Royxat!B7)</f>
        <v/>
      </c>
      <c r="C11" s="8" t="n"/>
      <c r="D11" s="8" t="n"/>
      <c r="E11" s="8" t="n"/>
      <c r="F11" s="8" t="n"/>
      <c r="G11" s="8" t="n"/>
      <c r="H11" s="8" t="n"/>
      <c r="I11" s="9">
        <f>IF(COUNT(C11:H11)=0,"",SUM(C11:H11))</f>
        <v/>
      </c>
      <c r="J11" s="9">
        <f>IF(I11="","",ROUND(I11/(COUNT(C11:H11)*2)*100,0))</f>
        <v/>
      </c>
      <c r="K11" s="8" t="n"/>
      <c r="L11" s="8" t="n"/>
      <c r="M11" s="8" t="n"/>
      <c r="N11" s="8" t="n"/>
      <c r="O11" s="8" t="n"/>
      <c r="P11" s="8" t="n"/>
      <c r="Q11" s="9">
        <f>IF(COUNT(K11:P11)=0,"",SUM(K11:P11))</f>
        <v/>
      </c>
      <c r="R11" s="9">
        <f>IF(Q11="","",ROUND(Q11/(COUNT(K11:P11)*2)*100,0))</f>
        <v/>
      </c>
      <c r="S11" s="9">
        <f>IF(OR(J11="",R11=""),"",R11-J11)</f>
        <v/>
      </c>
      <c r="T11" s="8" t="n"/>
      <c r="U11" s="8" t="n"/>
      <c r="V11" s="9">
        <f>IF(OR(T11="",U11=""),"",U11-T11)</f>
        <v/>
      </c>
    </row>
    <row r="12">
      <c r="A12" s="4" t="n">
        <v>7</v>
      </c>
      <c r="B12" s="4">
        <f>IF(Royxat!B8="","",Royxat!B8)</f>
        <v/>
      </c>
      <c r="C12" s="8" t="n"/>
      <c r="D12" s="8" t="n"/>
      <c r="E12" s="8" t="n"/>
      <c r="F12" s="8" t="n"/>
      <c r="G12" s="8" t="n"/>
      <c r="H12" s="8" t="n"/>
      <c r="I12" s="9">
        <f>IF(COUNT(C12:H12)=0,"",SUM(C12:H12))</f>
        <v/>
      </c>
      <c r="J12" s="9">
        <f>IF(I12="","",ROUND(I12/(COUNT(C12:H12)*2)*100,0))</f>
        <v/>
      </c>
      <c r="K12" s="8" t="n"/>
      <c r="L12" s="8" t="n"/>
      <c r="M12" s="8" t="n"/>
      <c r="N12" s="8" t="n"/>
      <c r="O12" s="8" t="n"/>
      <c r="P12" s="8" t="n"/>
      <c r="Q12" s="9">
        <f>IF(COUNT(K12:P12)=0,"",SUM(K12:P12))</f>
        <v/>
      </c>
      <c r="R12" s="9">
        <f>IF(Q12="","",ROUND(Q12/(COUNT(K12:P12)*2)*100,0))</f>
        <v/>
      </c>
      <c r="S12" s="9">
        <f>IF(OR(J12="",R12=""),"",R12-J12)</f>
        <v/>
      </c>
      <c r="T12" s="8" t="n"/>
      <c r="U12" s="8" t="n"/>
      <c r="V12" s="9">
        <f>IF(OR(T12="",U12=""),"",U12-T12)</f>
        <v/>
      </c>
    </row>
    <row r="13">
      <c r="A13" s="4" t="n">
        <v>8</v>
      </c>
      <c r="B13" s="4">
        <f>IF(Royxat!B9="","",Royxat!B9)</f>
        <v/>
      </c>
      <c r="C13" s="8" t="n"/>
      <c r="D13" s="8" t="n"/>
      <c r="E13" s="8" t="n"/>
      <c r="F13" s="8" t="n"/>
      <c r="G13" s="8" t="n"/>
      <c r="H13" s="8" t="n"/>
      <c r="I13" s="9">
        <f>IF(COUNT(C13:H13)=0,"",SUM(C13:H13))</f>
        <v/>
      </c>
      <c r="J13" s="9">
        <f>IF(I13="","",ROUND(I13/(COUNT(C13:H13)*2)*100,0))</f>
        <v/>
      </c>
      <c r="K13" s="8" t="n"/>
      <c r="L13" s="8" t="n"/>
      <c r="M13" s="8" t="n"/>
      <c r="N13" s="8" t="n"/>
      <c r="O13" s="8" t="n"/>
      <c r="P13" s="8" t="n"/>
      <c r="Q13" s="9">
        <f>IF(COUNT(K13:P13)=0,"",SUM(K13:P13))</f>
        <v/>
      </c>
      <c r="R13" s="9">
        <f>IF(Q13="","",ROUND(Q13/(COUNT(K13:P13)*2)*100,0))</f>
        <v/>
      </c>
      <c r="S13" s="9">
        <f>IF(OR(J13="",R13=""),"",R13-J13)</f>
        <v/>
      </c>
      <c r="T13" s="8" t="n"/>
      <c r="U13" s="8" t="n"/>
      <c r="V13" s="9">
        <f>IF(OR(T13="",U13=""),"",U13-T13)</f>
        <v/>
      </c>
    </row>
    <row r="14">
      <c r="A14" s="4" t="n">
        <v>9</v>
      </c>
      <c r="B14" s="4">
        <f>IF(Royxat!B10="","",Royxat!B10)</f>
        <v/>
      </c>
      <c r="C14" s="8" t="n"/>
      <c r="D14" s="8" t="n"/>
      <c r="E14" s="8" t="n"/>
      <c r="F14" s="8" t="n"/>
      <c r="G14" s="8" t="n"/>
      <c r="H14" s="8" t="n"/>
      <c r="I14" s="9">
        <f>IF(COUNT(C14:H14)=0,"",SUM(C14:H14))</f>
        <v/>
      </c>
      <c r="J14" s="9">
        <f>IF(I14="","",ROUND(I14/(COUNT(C14:H14)*2)*100,0))</f>
        <v/>
      </c>
      <c r="K14" s="8" t="n"/>
      <c r="L14" s="8" t="n"/>
      <c r="M14" s="8" t="n"/>
      <c r="N14" s="8" t="n"/>
      <c r="O14" s="8" t="n"/>
      <c r="P14" s="8" t="n"/>
      <c r="Q14" s="9">
        <f>IF(COUNT(K14:P14)=0,"",SUM(K14:P14))</f>
        <v/>
      </c>
      <c r="R14" s="9">
        <f>IF(Q14="","",ROUND(Q14/(COUNT(K14:P14)*2)*100,0))</f>
        <v/>
      </c>
      <c r="S14" s="9">
        <f>IF(OR(J14="",R14=""),"",R14-J14)</f>
        <v/>
      </c>
      <c r="T14" s="8" t="n"/>
      <c r="U14" s="8" t="n"/>
      <c r="V14" s="9">
        <f>IF(OR(T14="",U14=""),"",U14-T14)</f>
        <v/>
      </c>
    </row>
    <row r="15">
      <c r="A15" s="4" t="n">
        <v>10</v>
      </c>
      <c r="B15" s="4">
        <f>IF(Royxat!B11="","",Royxat!B11)</f>
        <v/>
      </c>
      <c r="C15" s="8" t="n"/>
      <c r="D15" s="8" t="n"/>
      <c r="E15" s="8" t="n"/>
      <c r="F15" s="8" t="n"/>
      <c r="G15" s="8" t="n"/>
      <c r="H15" s="8" t="n"/>
      <c r="I15" s="9">
        <f>IF(COUNT(C15:H15)=0,"",SUM(C15:H15))</f>
        <v/>
      </c>
      <c r="J15" s="9">
        <f>IF(I15="","",ROUND(I15/(COUNT(C15:H15)*2)*100,0))</f>
        <v/>
      </c>
      <c r="K15" s="8" t="n"/>
      <c r="L15" s="8" t="n"/>
      <c r="M15" s="8" t="n"/>
      <c r="N15" s="8" t="n"/>
      <c r="O15" s="8" t="n"/>
      <c r="P15" s="8" t="n"/>
      <c r="Q15" s="9">
        <f>IF(COUNT(K15:P15)=0,"",SUM(K15:P15))</f>
        <v/>
      </c>
      <c r="R15" s="9">
        <f>IF(Q15="","",ROUND(Q15/(COUNT(K15:P15)*2)*100,0))</f>
        <v/>
      </c>
      <c r="S15" s="9">
        <f>IF(OR(J15="",R15=""),"",R15-J15)</f>
        <v/>
      </c>
      <c r="T15" s="8" t="n"/>
      <c r="U15" s="8" t="n"/>
      <c r="V15" s="9">
        <f>IF(OR(T15="",U15=""),"",U15-T15)</f>
        <v/>
      </c>
    </row>
    <row r="16">
      <c r="A16" s="4" t="n">
        <v>11</v>
      </c>
      <c r="B16" s="4">
        <f>IF(Royxat!B12="","",Royxat!B12)</f>
        <v/>
      </c>
      <c r="C16" s="8" t="n"/>
      <c r="D16" s="8" t="n"/>
      <c r="E16" s="8" t="n"/>
      <c r="F16" s="8" t="n"/>
      <c r="G16" s="8" t="n"/>
      <c r="H16" s="8" t="n"/>
      <c r="I16" s="9">
        <f>IF(COUNT(C16:H16)=0,"",SUM(C16:H16))</f>
        <v/>
      </c>
      <c r="J16" s="9">
        <f>IF(I16="","",ROUND(I16/(COUNT(C16:H16)*2)*100,0))</f>
        <v/>
      </c>
      <c r="K16" s="8" t="n"/>
      <c r="L16" s="8" t="n"/>
      <c r="M16" s="8" t="n"/>
      <c r="N16" s="8" t="n"/>
      <c r="O16" s="8" t="n"/>
      <c r="P16" s="8" t="n"/>
      <c r="Q16" s="9">
        <f>IF(COUNT(K16:P16)=0,"",SUM(K16:P16))</f>
        <v/>
      </c>
      <c r="R16" s="9">
        <f>IF(Q16="","",ROUND(Q16/(COUNT(K16:P16)*2)*100,0))</f>
        <v/>
      </c>
      <c r="S16" s="9">
        <f>IF(OR(J16="",R16=""),"",R16-J16)</f>
        <v/>
      </c>
      <c r="T16" s="8" t="n"/>
      <c r="U16" s="8" t="n"/>
      <c r="V16" s="9">
        <f>IF(OR(T16="",U16=""),"",U16-T16)</f>
        <v/>
      </c>
    </row>
    <row r="17">
      <c r="A17" s="4" t="n">
        <v>12</v>
      </c>
      <c r="B17" s="4">
        <f>IF(Royxat!B13="","",Royxat!B13)</f>
        <v/>
      </c>
      <c r="C17" s="8" t="n"/>
      <c r="D17" s="8" t="n"/>
      <c r="E17" s="8" t="n"/>
      <c r="F17" s="8" t="n"/>
      <c r="G17" s="8" t="n"/>
      <c r="H17" s="8" t="n"/>
      <c r="I17" s="9">
        <f>IF(COUNT(C17:H17)=0,"",SUM(C17:H17))</f>
        <v/>
      </c>
      <c r="J17" s="9">
        <f>IF(I17="","",ROUND(I17/(COUNT(C17:H17)*2)*100,0))</f>
        <v/>
      </c>
      <c r="K17" s="8" t="n"/>
      <c r="L17" s="8" t="n"/>
      <c r="M17" s="8" t="n"/>
      <c r="N17" s="8" t="n"/>
      <c r="O17" s="8" t="n"/>
      <c r="P17" s="8" t="n"/>
      <c r="Q17" s="9">
        <f>IF(COUNT(K17:P17)=0,"",SUM(K17:P17))</f>
        <v/>
      </c>
      <c r="R17" s="9">
        <f>IF(Q17="","",ROUND(Q17/(COUNT(K17:P17)*2)*100,0))</f>
        <v/>
      </c>
      <c r="S17" s="9">
        <f>IF(OR(J17="",R17=""),"",R17-J17)</f>
        <v/>
      </c>
      <c r="T17" s="8" t="n"/>
      <c r="U17" s="8" t="n"/>
      <c r="V17" s="9">
        <f>IF(OR(T17="",U17=""),"",U17-T17)</f>
        <v/>
      </c>
    </row>
    <row r="18">
      <c r="A18" s="4" t="n">
        <v>13</v>
      </c>
      <c r="B18" s="4">
        <f>IF(Royxat!B14="","",Royxat!B14)</f>
        <v/>
      </c>
      <c r="C18" s="8" t="n"/>
      <c r="D18" s="8" t="n"/>
      <c r="E18" s="8" t="n"/>
      <c r="F18" s="8" t="n"/>
      <c r="G18" s="8" t="n"/>
      <c r="H18" s="8" t="n"/>
      <c r="I18" s="9">
        <f>IF(COUNT(C18:H18)=0,"",SUM(C18:H18))</f>
        <v/>
      </c>
      <c r="J18" s="9">
        <f>IF(I18="","",ROUND(I18/(COUNT(C18:H18)*2)*100,0))</f>
        <v/>
      </c>
      <c r="K18" s="8" t="n"/>
      <c r="L18" s="8" t="n"/>
      <c r="M18" s="8" t="n"/>
      <c r="N18" s="8" t="n"/>
      <c r="O18" s="8" t="n"/>
      <c r="P18" s="8" t="n"/>
      <c r="Q18" s="9">
        <f>IF(COUNT(K18:P18)=0,"",SUM(K18:P18))</f>
        <v/>
      </c>
      <c r="R18" s="9">
        <f>IF(Q18="","",ROUND(Q18/(COUNT(K18:P18)*2)*100,0))</f>
        <v/>
      </c>
      <c r="S18" s="9">
        <f>IF(OR(J18="",R18=""),"",R18-J18)</f>
        <v/>
      </c>
      <c r="T18" s="8" t="n"/>
      <c r="U18" s="8" t="n"/>
      <c r="V18" s="9">
        <f>IF(OR(T18="",U18=""),"",U18-T18)</f>
        <v/>
      </c>
    </row>
    <row r="19">
      <c r="A19" s="4" t="n">
        <v>14</v>
      </c>
      <c r="B19" s="4">
        <f>IF(Royxat!B15="","",Royxat!B15)</f>
        <v/>
      </c>
      <c r="C19" s="8" t="n"/>
      <c r="D19" s="8" t="n"/>
      <c r="E19" s="8" t="n"/>
      <c r="F19" s="8" t="n"/>
      <c r="G19" s="8" t="n"/>
      <c r="H19" s="8" t="n"/>
      <c r="I19" s="9">
        <f>IF(COUNT(C19:H19)=0,"",SUM(C19:H19))</f>
        <v/>
      </c>
      <c r="J19" s="9">
        <f>IF(I19="","",ROUND(I19/(COUNT(C19:H19)*2)*100,0))</f>
        <v/>
      </c>
      <c r="K19" s="8" t="n"/>
      <c r="L19" s="8" t="n"/>
      <c r="M19" s="8" t="n"/>
      <c r="N19" s="8" t="n"/>
      <c r="O19" s="8" t="n"/>
      <c r="P19" s="8" t="n"/>
      <c r="Q19" s="9">
        <f>IF(COUNT(K19:P19)=0,"",SUM(K19:P19))</f>
        <v/>
      </c>
      <c r="R19" s="9">
        <f>IF(Q19="","",ROUND(Q19/(COUNT(K19:P19)*2)*100,0))</f>
        <v/>
      </c>
      <c r="S19" s="9">
        <f>IF(OR(J19="",R19=""),"",R19-J19)</f>
        <v/>
      </c>
      <c r="T19" s="8" t="n"/>
      <c r="U19" s="8" t="n"/>
      <c r="V19" s="9">
        <f>IF(OR(T19="",U19=""),"",U19-T19)</f>
        <v/>
      </c>
    </row>
    <row r="20">
      <c r="A20" s="4" t="n">
        <v>15</v>
      </c>
      <c r="B20" s="4">
        <f>IF(Royxat!B16="","",Royxat!B16)</f>
        <v/>
      </c>
      <c r="C20" s="8" t="n"/>
      <c r="D20" s="8" t="n"/>
      <c r="E20" s="8" t="n"/>
      <c r="F20" s="8" t="n"/>
      <c r="G20" s="8" t="n"/>
      <c r="H20" s="8" t="n"/>
      <c r="I20" s="9">
        <f>IF(COUNT(C20:H20)=0,"",SUM(C20:H20))</f>
        <v/>
      </c>
      <c r="J20" s="9">
        <f>IF(I20="","",ROUND(I20/(COUNT(C20:H20)*2)*100,0))</f>
        <v/>
      </c>
      <c r="K20" s="8" t="n"/>
      <c r="L20" s="8" t="n"/>
      <c r="M20" s="8" t="n"/>
      <c r="N20" s="8" t="n"/>
      <c r="O20" s="8" t="n"/>
      <c r="P20" s="8" t="n"/>
      <c r="Q20" s="9">
        <f>IF(COUNT(K20:P20)=0,"",SUM(K20:P20))</f>
        <v/>
      </c>
      <c r="R20" s="9">
        <f>IF(Q20="","",ROUND(Q20/(COUNT(K20:P20)*2)*100,0))</f>
        <v/>
      </c>
      <c r="S20" s="9">
        <f>IF(OR(J20="",R20=""),"",R20-J20)</f>
        <v/>
      </c>
      <c r="T20" s="8" t="n"/>
      <c r="U20" s="8" t="n"/>
      <c r="V20" s="9">
        <f>IF(OR(T20="",U20=""),"",U20-T20)</f>
        <v/>
      </c>
    </row>
    <row r="21">
      <c r="A21" s="4" t="n">
        <v>16</v>
      </c>
      <c r="B21" s="4">
        <f>IF(Royxat!B17="","",Royxat!B17)</f>
        <v/>
      </c>
      <c r="C21" s="8" t="n"/>
      <c r="D21" s="8" t="n"/>
      <c r="E21" s="8" t="n"/>
      <c r="F21" s="8" t="n"/>
      <c r="G21" s="8" t="n"/>
      <c r="H21" s="8" t="n"/>
      <c r="I21" s="9">
        <f>IF(COUNT(C21:H21)=0,"",SUM(C21:H21))</f>
        <v/>
      </c>
      <c r="J21" s="9">
        <f>IF(I21="","",ROUND(I21/(COUNT(C21:H21)*2)*100,0))</f>
        <v/>
      </c>
      <c r="K21" s="8" t="n"/>
      <c r="L21" s="8" t="n"/>
      <c r="M21" s="8" t="n"/>
      <c r="N21" s="8" t="n"/>
      <c r="O21" s="8" t="n"/>
      <c r="P21" s="8" t="n"/>
      <c r="Q21" s="9">
        <f>IF(COUNT(K21:P21)=0,"",SUM(K21:P21))</f>
        <v/>
      </c>
      <c r="R21" s="9">
        <f>IF(Q21="","",ROUND(Q21/(COUNT(K21:P21)*2)*100,0))</f>
        <v/>
      </c>
      <c r="S21" s="9">
        <f>IF(OR(J21="",R21=""),"",R21-J21)</f>
        <v/>
      </c>
      <c r="T21" s="8" t="n"/>
      <c r="U21" s="8" t="n"/>
      <c r="V21" s="9">
        <f>IF(OR(T21="",U21=""),"",U21-T21)</f>
        <v/>
      </c>
    </row>
    <row r="22">
      <c r="A22" s="4" t="n">
        <v>17</v>
      </c>
      <c r="B22" s="4">
        <f>IF(Royxat!B18="","",Royxat!B18)</f>
        <v/>
      </c>
      <c r="C22" s="8" t="n"/>
      <c r="D22" s="8" t="n"/>
      <c r="E22" s="8" t="n"/>
      <c r="F22" s="8" t="n"/>
      <c r="G22" s="8" t="n"/>
      <c r="H22" s="8" t="n"/>
      <c r="I22" s="9">
        <f>IF(COUNT(C22:H22)=0,"",SUM(C22:H22))</f>
        <v/>
      </c>
      <c r="J22" s="9">
        <f>IF(I22="","",ROUND(I22/(COUNT(C22:H22)*2)*100,0))</f>
        <v/>
      </c>
      <c r="K22" s="8" t="n"/>
      <c r="L22" s="8" t="n"/>
      <c r="M22" s="8" t="n"/>
      <c r="N22" s="8" t="n"/>
      <c r="O22" s="8" t="n"/>
      <c r="P22" s="8" t="n"/>
      <c r="Q22" s="9">
        <f>IF(COUNT(K22:P22)=0,"",SUM(K22:P22))</f>
        <v/>
      </c>
      <c r="R22" s="9">
        <f>IF(Q22="","",ROUND(Q22/(COUNT(K22:P22)*2)*100,0))</f>
        <v/>
      </c>
      <c r="S22" s="9">
        <f>IF(OR(J22="",R22=""),"",R22-J22)</f>
        <v/>
      </c>
      <c r="T22" s="8" t="n"/>
      <c r="U22" s="8" t="n"/>
      <c r="V22" s="9">
        <f>IF(OR(T22="",U22=""),"",U22-T22)</f>
        <v/>
      </c>
    </row>
    <row r="23">
      <c r="A23" s="4" t="n">
        <v>18</v>
      </c>
      <c r="B23" s="4">
        <f>IF(Royxat!B19="","",Royxat!B19)</f>
        <v/>
      </c>
      <c r="C23" s="8" t="n"/>
      <c r="D23" s="8" t="n"/>
      <c r="E23" s="8" t="n"/>
      <c r="F23" s="8" t="n"/>
      <c r="G23" s="8" t="n"/>
      <c r="H23" s="8" t="n"/>
      <c r="I23" s="9">
        <f>IF(COUNT(C23:H23)=0,"",SUM(C23:H23))</f>
        <v/>
      </c>
      <c r="J23" s="9">
        <f>IF(I23="","",ROUND(I23/(COUNT(C23:H23)*2)*100,0))</f>
        <v/>
      </c>
      <c r="K23" s="8" t="n"/>
      <c r="L23" s="8" t="n"/>
      <c r="M23" s="8" t="n"/>
      <c r="N23" s="8" t="n"/>
      <c r="O23" s="8" t="n"/>
      <c r="P23" s="8" t="n"/>
      <c r="Q23" s="9">
        <f>IF(COUNT(K23:P23)=0,"",SUM(K23:P23))</f>
        <v/>
      </c>
      <c r="R23" s="9">
        <f>IF(Q23="","",ROUND(Q23/(COUNT(K23:P23)*2)*100,0))</f>
        <v/>
      </c>
      <c r="S23" s="9">
        <f>IF(OR(J23="",R23=""),"",R23-J23)</f>
        <v/>
      </c>
      <c r="T23" s="8" t="n"/>
      <c r="U23" s="8" t="n"/>
      <c r="V23" s="9">
        <f>IF(OR(T23="",U23=""),"",U23-T23)</f>
        <v/>
      </c>
    </row>
    <row r="24">
      <c r="A24" s="4" t="n">
        <v>19</v>
      </c>
      <c r="B24" s="4">
        <f>IF(Royxat!B20="","",Royxat!B20)</f>
        <v/>
      </c>
      <c r="C24" s="8" t="n"/>
      <c r="D24" s="8" t="n"/>
      <c r="E24" s="8" t="n"/>
      <c r="F24" s="8" t="n"/>
      <c r="G24" s="8" t="n"/>
      <c r="H24" s="8" t="n"/>
      <c r="I24" s="9">
        <f>IF(COUNT(C24:H24)=0,"",SUM(C24:H24))</f>
        <v/>
      </c>
      <c r="J24" s="9">
        <f>IF(I24="","",ROUND(I24/(COUNT(C24:H24)*2)*100,0))</f>
        <v/>
      </c>
      <c r="K24" s="8" t="n"/>
      <c r="L24" s="8" t="n"/>
      <c r="M24" s="8" t="n"/>
      <c r="N24" s="8" t="n"/>
      <c r="O24" s="8" t="n"/>
      <c r="P24" s="8" t="n"/>
      <c r="Q24" s="9">
        <f>IF(COUNT(K24:P24)=0,"",SUM(K24:P24))</f>
        <v/>
      </c>
      <c r="R24" s="9">
        <f>IF(Q24="","",ROUND(Q24/(COUNT(K24:P24)*2)*100,0))</f>
        <v/>
      </c>
      <c r="S24" s="9">
        <f>IF(OR(J24="",R24=""),"",R24-J24)</f>
        <v/>
      </c>
      <c r="T24" s="8" t="n"/>
      <c r="U24" s="8" t="n"/>
      <c r="V24" s="9">
        <f>IF(OR(T24="",U24=""),"",U24-T24)</f>
        <v/>
      </c>
    </row>
    <row r="25">
      <c r="A25" s="4" t="n">
        <v>20</v>
      </c>
      <c r="B25" s="4">
        <f>IF(Royxat!B21="","",Royxat!B21)</f>
        <v/>
      </c>
      <c r="C25" s="8" t="n"/>
      <c r="D25" s="8" t="n"/>
      <c r="E25" s="8" t="n"/>
      <c r="F25" s="8" t="n"/>
      <c r="G25" s="8" t="n"/>
      <c r="H25" s="8" t="n"/>
      <c r="I25" s="9">
        <f>IF(COUNT(C25:H25)=0,"",SUM(C25:H25))</f>
        <v/>
      </c>
      <c r="J25" s="9">
        <f>IF(I25="","",ROUND(I25/(COUNT(C25:H25)*2)*100,0))</f>
        <v/>
      </c>
      <c r="K25" s="8" t="n"/>
      <c r="L25" s="8" t="n"/>
      <c r="M25" s="8" t="n"/>
      <c r="N25" s="8" t="n"/>
      <c r="O25" s="8" t="n"/>
      <c r="P25" s="8" t="n"/>
      <c r="Q25" s="9">
        <f>IF(COUNT(K25:P25)=0,"",SUM(K25:P25))</f>
        <v/>
      </c>
      <c r="R25" s="9">
        <f>IF(Q25="","",ROUND(Q25/(COUNT(K25:P25)*2)*100,0))</f>
        <v/>
      </c>
      <c r="S25" s="9">
        <f>IF(OR(J25="",R25=""),"",R25-J25)</f>
        <v/>
      </c>
      <c r="T25" s="8" t="n"/>
      <c r="U25" s="8" t="n"/>
      <c r="V25" s="9">
        <f>IF(OR(T25="",U25=""),"",U25-T25)</f>
        <v/>
      </c>
    </row>
    <row r="26">
      <c r="A26" s="4" t="n">
        <v>21</v>
      </c>
      <c r="B26" s="4">
        <f>IF(Royxat!B22="","",Royxat!B22)</f>
        <v/>
      </c>
      <c r="C26" s="8" t="n"/>
      <c r="D26" s="8" t="n"/>
      <c r="E26" s="8" t="n"/>
      <c r="F26" s="8" t="n"/>
      <c r="G26" s="8" t="n"/>
      <c r="H26" s="8" t="n"/>
      <c r="I26" s="9">
        <f>IF(COUNT(C26:H26)=0,"",SUM(C26:H26))</f>
        <v/>
      </c>
      <c r="J26" s="9">
        <f>IF(I26="","",ROUND(I26/(COUNT(C26:H26)*2)*100,0))</f>
        <v/>
      </c>
      <c r="K26" s="8" t="n"/>
      <c r="L26" s="8" t="n"/>
      <c r="M26" s="8" t="n"/>
      <c r="N26" s="8" t="n"/>
      <c r="O26" s="8" t="n"/>
      <c r="P26" s="8" t="n"/>
      <c r="Q26" s="9">
        <f>IF(COUNT(K26:P26)=0,"",SUM(K26:P26))</f>
        <v/>
      </c>
      <c r="R26" s="9">
        <f>IF(Q26="","",ROUND(Q26/(COUNT(K26:P26)*2)*100,0))</f>
        <v/>
      </c>
      <c r="S26" s="9">
        <f>IF(OR(J26="",R26=""),"",R26-J26)</f>
        <v/>
      </c>
      <c r="T26" s="8" t="n"/>
      <c r="U26" s="8" t="n"/>
      <c r="V26" s="9">
        <f>IF(OR(T26="",U26=""),"",U26-T26)</f>
        <v/>
      </c>
    </row>
    <row r="27">
      <c r="A27" s="4" t="n">
        <v>22</v>
      </c>
      <c r="B27" s="4">
        <f>IF(Royxat!B23="","",Royxat!B23)</f>
        <v/>
      </c>
      <c r="C27" s="8" t="n"/>
      <c r="D27" s="8" t="n"/>
      <c r="E27" s="8" t="n"/>
      <c r="F27" s="8" t="n"/>
      <c r="G27" s="8" t="n"/>
      <c r="H27" s="8" t="n"/>
      <c r="I27" s="9">
        <f>IF(COUNT(C27:H27)=0,"",SUM(C27:H27))</f>
        <v/>
      </c>
      <c r="J27" s="9">
        <f>IF(I27="","",ROUND(I27/(COUNT(C27:H27)*2)*100,0))</f>
        <v/>
      </c>
      <c r="K27" s="8" t="n"/>
      <c r="L27" s="8" t="n"/>
      <c r="M27" s="8" t="n"/>
      <c r="N27" s="8" t="n"/>
      <c r="O27" s="8" t="n"/>
      <c r="P27" s="8" t="n"/>
      <c r="Q27" s="9">
        <f>IF(COUNT(K27:P27)=0,"",SUM(K27:P27))</f>
        <v/>
      </c>
      <c r="R27" s="9">
        <f>IF(Q27="","",ROUND(Q27/(COUNT(K27:P27)*2)*100,0))</f>
        <v/>
      </c>
      <c r="S27" s="9">
        <f>IF(OR(J27="",R27=""),"",R27-J27)</f>
        <v/>
      </c>
      <c r="T27" s="8" t="n"/>
      <c r="U27" s="8" t="n"/>
      <c r="V27" s="9">
        <f>IF(OR(T27="",U27=""),"",U27-T27)</f>
        <v/>
      </c>
    </row>
    <row r="28">
      <c r="A28" s="4" t="n">
        <v>23</v>
      </c>
      <c r="B28" s="4">
        <f>IF(Royxat!B24="","",Royxat!B24)</f>
        <v/>
      </c>
      <c r="C28" s="8" t="n"/>
      <c r="D28" s="8" t="n"/>
      <c r="E28" s="8" t="n"/>
      <c r="F28" s="8" t="n"/>
      <c r="G28" s="8" t="n"/>
      <c r="H28" s="8" t="n"/>
      <c r="I28" s="9">
        <f>IF(COUNT(C28:H28)=0,"",SUM(C28:H28))</f>
        <v/>
      </c>
      <c r="J28" s="9">
        <f>IF(I28="","",ROUND(I28/(COUNT(C28:H28)*2)*100,0))</f>
        <v/>
      </c>
      <c r="K28" s="8" t="n"/>
      <c r="L28" s="8" t="n"/>
      <c r="M28" s="8" t="n"/>
      <c r="N28" s="8" t="n"/>
      <c r="O28" s="8" t="n"/>
      <c r="P28" s="8" t="n"/>
      <c r="Q28" s="9">
        <f>IF(COUNT(K28:P28)=0,"",SUM(K28:P28))</f>
        <v/>
      </c>
      <c r="R28" s="9">
        <f>IF(Q28="","",ROUND(Q28/(COUNT(K28:P28)*2)*100,0))</f>
        <v/>
      </c>
      <c r="S28" s="9">
        <f>IF(OR(J28="",R28=""),"",R28-J28)</f>
        <v/>
      </c>
      <c r="T28" s="8" t="n"/>
      <c r="U28" s="8" t="n"/>
      <c r="V28" s="9">
        <f>IF(OR(T28="",U28=""),"",U28-T28)</f>
        <v/>
      </c>
    </row>
    <row r="29">
      <c r="A29" s="4" t="n">
        <v>24</v>
      </c>
      <c r="B29" s="4">
        <f>IF(Royxat!B25="","",Royxat!B25)</f>
        <v/>
      </c>
      <c r="C29" s="8" t="n"/>
      <c r="D29" s="8" t="n"/>
      <c r="E29" s="8" t="n"/>
      <c r="F29" s="8" t="n"/>
      <c r="G29" s="8" t="n"/>
      <c r="H29" s="8" t="n"/>
      <c r="I29" s="9">
        <f>IF(COUNT(C29:H29)=0,"",SUM(C29:H29))</f>
        <v/>
      </c>
      <c r="J29" s="9">
        <f>IF(I29="","",ROUND(I29/(COUNT(C29:H29)*2)*100,0))</f>
        <v/>
      </c>
      <c r="K29" s="8" t="n"/>
      <c r="L29" s="8" t="n"/>
      <c r="M29" s="8" t="n"/>
      <c r="N29" s="8" t="n"/>
      <c r="O29" s="8" t="n"/>
      <c r="P29" s="8" t="n"/>
      <c r="Q29" s="9">
        <f>IF(COUNT(K29:P29)=0,"",SUM(K29:P29))</f>
        <v/>
      </c>
      <c r="R29" s="9">
        <f>IF(Q29="","",ROUND(Q29/(COUNT(K29:P29)*2)*100,0))</f>
        <v/>
      </c>
      <c r="S29" s="9">
        <f>IF(OR(J29="",R29=""),"",R29-J29)</f>
        <v/>
      </c>
      <c r="T29" s="8" t="n"/>
      <c r="U29" s="8" t="n"/>
      <c r="V29" s="9">
        <f>IF(OR(T29="",U29=""),"",U29-T29)</f>
        <v/>
      </c>
    </row>
    <row r="30">
      <c r="A30" s="4" t="n">
        <v>25</v>
      </c>
      <c r="B30" s="4">
        <f>IF(Royxat!B26="","",Royxat!B26)</f>
        <v/>
      </c>
      <c r="C30" s="8" t="n"/>
      <c r="D30" s="8" t="n"/>
      <c r="E30" s="8" t="n"/>
      <c r="F30" s="8" t="n"/>
      <c r="G30" s="8" t="n"/>
      <c r="H30" s="8" t="n"/>
      <c r="I30" s="9">
        <f>IF(COUNT(C30:H30)=0,"",SUM(C30:H30))</f>
        <v/>
      </c>
      <c r="J30" s="9">
        <f>IF(I30="","",ROUND(I30/(COUNT(C30:H30)*2)*100,0))</f>
        <v/>
      </c>
      <c r="K30" s="8" t="n"/>
      <c r="L30" s="8" t="n"/>
      <c r="M30" s="8" t="n"/>
      <c r="N30" s="8" t="n"/>
      <c r="O30" s="8" t="n"/>
      <c r="P30" s="8" t="n"/>
      <c r="Q30" s="9">
        <f>IF(COUNT(K30:P30)=0,"",SUM(K30:P30))</f>
        <v/>
      </c>
      <c r="R30" s="9">
        <f>IF(Q30="","",ROUND(Q30/(COUNT(K30:P30)*2)*100,0))</f>
        <v/>
      </c>
      <c r="S30" s="9">
        <f>IF(OR(J30="",R30=""),"",R30-J30)</f>
        <v/>
      </c>
      <c r="T30" s="8" t="n"/>
      <c r="U30" s="8" t="n"/>
      <c r="V30" s="9">
        <f>IF(OR(T30="",U30=""),"",U30-T30)</f>
        <v/>
      </c>
    </row>
    <row r="31">
      <c r="A31" s="4" t="n">
        <v>26</v>
      </c>
      <c r="B31" s="4">
        <f>IF(Royxat!B27="","",Royxat!B27)</f>
        <v/>
      </c>
      <c r="C31" s="8" t="n"/>
      <c r="D31" s="8" t="n"/>
      <c r="E31" s="8" t="n"/>
      <c r="F31" s="8" t="n"/>
      <c r="G31" s="8" t="n"/>
      <c r="H31" s="8" t="n"/>
      <c r="I31" s="9">
        <f>IF(COUNT(C31:H31)=0,"",SUM(C31:H31))</f>
        <v/>
      </c>
      <c r="J31" s="9">
        <f>IF(I31="","",ROUND(I31/(COUNT(C31:H31)*2)*100,0))</f>
        <v/>
      </c>
      <c r="K31" s="8" t="n"/>
      <c r="L31" s="8" t="n"/>
      <c r="M31" s="8" t="n"/>
      <c r="N31" s="8" t="n"/>
      <c r="O31" s="8" t="n"/>
      <c r="P31" s="8" t="n"/>
      <c r="Q31" s="9">
        <f>IF(COUNT(K31:P31)=0,"",SUM(K31:P31))</f>
        <v/>
      </c>
      <c r="R31" s="9">
        <f>IF(Q31="","",ROUND(Q31/(COUNT(K31:P31)*2)*100,0))</f>
        <v/>
      </c>
      <c r="S31" s="9">
        <f>IF(OR(J31="",R31=""),"",R31-J31)</f>
        <v/>
      </c>
      <c r="T31" s="8" t="n"/>
      <c r="U31" s="8" t="n"/>
      <c r="V31" s="9">
        <f>IF(OR(T31="",U31=""),"",U31-T31)</f>
        <v/>
      </c>
    </row>
    <row r="32">
      <c r="A32" s="4" t="n">
        <v>27</v>
      </c>
      <c r="B32" s="4">
        <f>IF(Royxat!B28="","",Royxat!B28)</f>
        <v/>
      </c>
      <c r="C32" s="8" t="n"/>
      <c r="D32" s="8" t="n"/>
      <c r="E32" s="8" t="n"/>
      <c r="F32" s="8" t="n"/>
      <c r="G32" s="8" t="n"/>
      <c r="H32" s="8" t="n"/>
      <c r="I32" s="9">
        <f>IF(COUNT(C32:H32)=0,"",SUM(C32:H32))</f>
        <v/>
      </c>
      <c r="J32" s="9">
        <f>IF(I32="","",ROUND(I32/(COUNT(C32:H32)*2)*100,0))</f>
        <v/>
      </c>
      <c r="K32" s="8" t="n"/>
      <c r="L32" s="8" t="n"/>
      <c r="M32" s="8" t="n"/>
      <c r="N32" s="8" t="n"/>
      <c r="O32" s="8" t="n"/>
      <c r="P32" s="8" t="n"/>
      <c r="Q32" s="9">
        <f>IF(COUNT(K32:P32)=0,"",SUM(K32:P32))</f>
        <v/>
      </c>
      <c r="R32" s="9">
        <f>IF(Q32="","",ROUND(Q32/(COUNT(K32:P32)*2)*100,0))</f>
        <v/>
      </c>
      <c r="S32" s="9">
        <f>IF(OR(J32="",R32=""),"",R32-J32)</f>
        <v/>
      </c>
      <c r="T32" s="8" t="n"/>
      <c r="U32" s="8" t="n"/>
      <c r="V32" s="9">
        <f>IF(OR(T32="",U32=""),"",U32-T32)</f>
        <v/>
      </c>
    </row>
    <row r="33">
      <c r="A33" s="4" t="n">
        <v>28</v>
      </c>
      <c r="B33" s="4">
        <f>IF(Royxat!B29="","",Royxat!B29)</f>
        <v/>
      </c>
      <c r="C33" s="8" t="n"/>
      <c r="D33" s="8" t="n"/>
      <c r="E33" s="8" t="n"/>
      <c r="F33" s="8" t="n"/>
      <c r="G33" s="8" t="n"/>
      <c r="H33" s="8" t="n"/>
      <c r="I33" s="9">
        <f>IF(COUNT(C33:H33)=0,"",SUM(C33:H33))</f>
        <v/>
      </c>
      <c r="J33" s="9">
        <f>IF(I33="","",ROUND(I33/(COUNT(C33:H33)*2)*100,0))</f>
        <v/>
      </c>
      <c r="K33" s="8" t="n"/>
      <c r="L33" s="8" t="n"/>
      <c r="M33" s="8" t="n"/>
      <c r="N33" s="8" t="n"/>
      <c r="O33" s="8" t="n"/>
      <c r="P33" s="8" t="n"/>
      <c r="Q33" s="9">
        <f>IF(COUNT(K33:P33)=0,"",SUM(K33:P33))</f>
        <v/>
      </c>
      <c r="R33" s="9">
        <f>IF(Q33="","",ROUND(Q33/(COUNT(K33:P33)*2)*100,0))</f>
        <v/>
      </c>
      <c r="S33" s="9">
        <f>IF(OR(J33="",R33=""),"",R33-J33)</f>
        <v/>
      </c>
      <c r="T33" s="8" t="n"/>
      <c r="U33" s="8" t="n"/>
      <c r="V33" s="9">
        <f>IF(OR(T33="",U33=""),"",U33-T33)</f>
        <v/>
      </c>
    </row>
    <row r="34">
      <c r="A34" s="4" t="n">
        <v>29</v>
      </c>
      <c r="B34" s="4">
        <f>IF(Royxat!B30="","",Royxat!B30)</f>
        <v/>
      </c>
      <c r="C34" s="8" t="n"/>
      <c r="D34" s="8" t="n"/>
      <c r="E34" s="8" t="n"/>
      <c r="F34" s="8" t="n"/>
      <c r="G34" s="8" t="n"/>
      <c r="H34" s="8" t="n"/>
      <c r="I34" s="9">
        <f>IF(COUNT(C34:H34)=0,"",SUM(C34:H34))</f>
        <v/>
      </c>
      <c r="J34" s="9">
        <f>IF(I34="","",ROUND(I34/(COUNT(C34:H34)*2)*100,0))</f>
        <v/>
      </c>
      <c r="K34" s="8" t="n"/>
      <c r="L34" s="8" t="n"/>
      <c r="M34" s="8" t="n"/>
      <c r="N34" s="8" t="n"/>
      <c r="O34" s="8" t="n"/>
      <c r="P34" s="8" t="n"/>
      <c r="Q34" s="9">
        <f>IF(COUNT(K34:P34)=0,"",SUM(K34:P34))</f>
        <v/>
      </c>
      <c r="R34" s="9">
        <f>IF(Q34="","",ROUND(Q34/(COUNT(K34:P34)*2)*100,0))</f>
        <v/>
      </c>
      <c r="S34" s="9">
        <f>IF(OR(J34="",R34=""),"",R34-J34)</f>
        <v/>
      </c>
      <c r="T34" s="8" t="n"/>
      <c r="U34" s="8" t="n"/>
      <c r="V34" s="9">
        <f>IF(OR(T34="",U34=""),"",U34-T34)</f>
        <v/>
      </c>
    </row>
    <row r="35">
      <c r="A35" s="4" t="n">
        <v>30</v>
      </c>
      <c r="B35" s="4">
        <f>IF(Royxat!B31="","",Royxat!B31)</f>
        <v/>
      </c>
      <c r="C35" s="8" t="n"/>
      <c r="D35" s="8" t="n"/>
      <c r="E35" s="8" t="n"/>
      <c r="F35" s="8" t="n"/>
      <c r="G35" s="8" t="n"/>
      <c r="H35" s="8" t="n"/>
      <c r="I35" s="9">
        <f>IF(COUNT(C35:H35)=0,"",SUM(C35:H35))</f>
        <v/>
      </c>
      <c r="J35" s="9">
        <f>IF(I35="","",ROUND(I35/(COUNT(C35:H35)*2)*100,0))</f>
        <v/>
      </c>
      <c r="K35" s="8" t="n"/>
      <c r="L35" s="8" t="n"/>
      <c r="M35" s="8" t="n"/>
      <c r="N35" s="8" t="n"/>
      <c r="O35" s="8" t="n"/>
      <c r="P35" s="8" t="n"/>
      <c r="Q35" s="9">
        <f>IF(COUNT(K35:P35)=0,"",SUM(K35:P35))</f>
        <v/>
      </c>
      <c r="R35" s="9">
        <f>IF(Q35="","",ROUND(Q35/(COUNT(K35:P35)*2)*100,0))</f>
        <v/>
      </c>
      <c r="S35" s="9">
        <f>IF(OR(J35="",R35=""),"",R35-J35)</f>
        <v/>
      </c>
      <c r="T35" s="8" t="n"/>
      <c r="U35" s="8" t="n"/>
      <c r="V35" s="9">
        <f>IF(OR(T35="",U35=""),"",U35-T35)</f>
        <v/>
      </c>
    </row>
    <row r="36">
      <c r="A36" s="4" t="n">
        <v>31</v>
      </c>
      <c r="B36" s="4">
        <f>IF(Royxat!B32="","",Royxat!B32)</f>
        <v/>
      </c>
      <c r="C36" s="8" t="n"/>
      <c r="D36" s="8" t="n"/>
      <c r="E36" s="8" t="n"/>
      <c r="F36" s="8" t="n"/>
      <c r="G36" s="8" t="n"/>
      <c r="H36" s="8" t="n"/>
      <c r="I36" s="9">
        <f>IF(COUNT(C36:H36)=0,"",SUM(C36:H36))</f>
        <v/>
      </c>
      <c r="J36" s="9">
        <f>IF(I36="","",ROUND(I36/(COUNT(C36:H36)*2)*100,0))</f>
        <v/>
      </c>
      <c r="K36" s="8" t="n"/>
      <c r="L36" s="8" t="n"/>
      <c r="M36" s="8" t="n"/>
      <c r="N36" s="8" t="n"/>
      <c r="O36" s="8" t="n"/>
      <c r="P36" s="8" t="n"/>
      <c r="Q36" s="9">
        <f>IF(COUNT(K36:P36)=0,"",SUM(K36:P36))</f>
        <v/>
      </c>
      <c r="R36" s="9">
        <f>IF(Q36="","",ROUND(Q36/(COUNT(K36:P36)*2)*100,0))</f>
        <v/>
      </c>
      <c r="S36" s="9">
        <f>IF(OR(J36="",R36=""),"",R36-J36)</f>
        <v/>
      </c>
      <c r="T36" s="8" t="n"/>
      <c r="U36" s="8" t="n"/>
      <c r="V36" s="9">
        <f>IF(OR(T36="",U36=""),"",U36-T36)</f>
        <v/>
      </c>
    </row>
    <row r="37">
      <c r="A37" s="4" t="n">
        <v>32</v>
      </c>
      <c r="B37" s="4">
        <f>IF(Royxat!B33="","",Royxat!B33)</f>
        <v/>
      </c>
      <c r="C37" s="8" t="n"/>
      <c r="D37" s="8" t="n"/>
      <c r="E37" s="8" t="n"/>
      <c r="F37" s="8" t="n"/>
      <c r="G37" s="8" t="n"/>
      <c r="H37" s="8" t="n"/>
      <c r="I37" s="9">
        <f>IF(COUNT(C37:H37)=0,"",SUM(C37:H37))</f>
        <v/>
      </c>
      <c r="J37" s="9">
        <f>IF(I37="","",ROUND(I37/(COUNT(C37:H37)*2)*100,0))</f>
        <v/>
      </c>
      <c r="K37" s="8" t="n"/>
      <c r="L37" s="8" t="n"/>
      <c r="M37" s="8" t="n"/>
      <c r="N37" s="8" t="n"/>
      <c r="O37" s="8" t="n"/>
      <c r="P37" s="8" t="n"/>
      <c r="Q37" s="9">
        <f>IF(COUNT(K37:P37)=0,"",SUM(K37:P37))</f>
        <v/>
      </c>
      <c r="R37" s="9">
        <f>IF(Q37="","",ROUND(Q37/(COUNT(K37:P37)*2)*100,0))</f>
        <v/>
      </c>
      <c r="S37" s="9">
        <f>IF(OR(J37="",R37=""),"",R37-J37)</f>
        <v/>
      </c>
      <c r="T37" s="8" t="n"/>
      <c r="U37" s="8" t="n"/>
      <c r="V37" s="9">
        <f>IF(OR(T37="",U37=""),"",U37-T37)</f>
        <v/>
      </c>
    </row>
    <row r="38">
      <c r="A38" s="4" t="n">
        <v>33</v>
      </c>
      <c r="B38" s="4">
        <f>IF(Royxat!B34="","",Royxat!B34)</f>
        <v/>
      </c>
      <c r="C38" s="8" t="n"/>
      <c r="D38" s="8" t="n"/>
      <c r="E38" s="8" t="n"/>
      <c r="F38" s="8" t="n"/>
      <c r="G38" s="8" t="n"/>
      <c r="H38" s="8" t="n"/>
      <c r="I38" s="9">
        <f>IF(COUNT(C38:H38)=0,"",SUM(C38:H38))</f>
        <v/>
      </c>
      <c r="J38" s="9">
        <f>IF(I38="","",ROUND(I38/(COUNT(C38:H38)*2)*100,0))</f>
        <v/>
      </c>
      <c r="K38" s="8" t="n"/>
      <c r="L38" s="8" t="n"/>
      <c r="M38" s="8" t="n"/>
      <c r="N38" s="8" t="n"/>
      <c r="O38" s="8" t="n"/>
      <c r="P38" s="8" t="n"/>
      <c r="Q38" s="9">
        <f>IF(COUNT(K38:P38)=0,"",SUM(K38:P38))</f>
        <v/>
      </c>
      <c r="R38" s="9">
        <f>IF(Q38="","",ROUND(Q38/(COUNT(K38:P38)*2)*100,0))</f>
        <v/>
      </c>
      <c r="S38" s="9">
        <f>IF(OR(J38="",R38=""),"",R38-J38)</f>
        <v/>
      </c>
      <c r="T38" s="8" t="n"/>
      <c r="U38" s="8" t="n"/>
      <c r="V38" s="9">
        <f>IF(OR(T38="",U38=""),"",U38-T38)</f>
        <v/>
      </c>
    </row>
    <row r="39">
      <c r="A39" s="4" t="n">
        <v>34</v>
      </c>
      <c r="B39" s="4">
        <f>IF(Royxat!B35="","",Royxat!B35)</f>
        <v/>
      </c>
      <c r="C39" s="8" t="n"/>
      <c r="D39" s="8" t="n"/>
      <c r="E39" s="8" t="n"/>
      <c r="F39" s="8" t="n"/>
      <c r="G39" s="8" t="n"/>
      <c r="H39" s="8" t="n"/>
      <c r="I39" s="9">
        <f>IF(COUNT(C39:H39)=0,"",SUM(C39:H39))</f>
        <v/>
      </c>
      <c r="J39" s="9">
        <f>IF(I39="","",ROUND(I39/(COUNT(C39:H39)*2)*100,0))</f>
        <v/>
      </c>
      <c r="K39" s="8" t="n"/>
      <c r="L39" s="8" t="n"/>
      <c r="M39" s="8" t="n"/>
      <c r="N39" s="8" t="n"/>
      <c r="O39" s="8" t="n"/>
      <c r="P39" s="8" t="n"/>
      <c r="Q39" s="9">
        <f>IF(COUNT(K39:P39)=0,"",SUM(K39:P39))</f>
        <v/>
      </c>
      <c r="R39" s="9">
        <f>IF(Q39="","",ROUND(Q39/(COUNT(K39:P39)*2)*100,0))</f>
        <v/>
      </c>
      <c r="S39" s="9">
        <f>IF(OR(J39="",R39=""),"",R39-J39)</f>
        <v/>
      </c>
      <c r="T39" s="8" t="n"/>
      <c r="U39" s="8" t="n"/>
      <c r="V39" s="9">
        <f>IF(OR(T39="",U39=""),"",U39-T39)</f>
        <v/>
      </c>
    </row>
    <row r="40">
      <c r="A40" s="4" t="n">
        <v>35</v>
      </c>
      <c r="B40" s="4">
        <f>IF(Royxat!B36="","",Royxat!B36)</f>
        <v/>
      </c>
      <c r="C40" s="8" t="n"/>
      <c r="D40" s="8" t="n"/>
      <c r="E40" s="8" t="n"/>
      <c r="F40" s="8" t="n"/>
      <c r="G40" s="8" t="n"/>
      <c r="H40" s="8" t="n"/>
      <c r="I40" s="9">
        <f>IF(COUNT(C40:H40)=0,"",SUM(C40:H40))</f>
        <v/>
      </c>
      <c r="J40" s="9">
        <f>IF(I40="","",ROUND(I40/(COUNT(C40:H40)*2)*100,0))</f>
        <v/>
      </c>
      <c r="K40" s="8" t="n"/>
      <c r="L40" s="8" t="n"/>
      <c r="M40" s="8" t="n"/>
      <c r="N40" s="8" t="n"/>
      <c r="O40" s="8" t="n"/>
      <c r="P40" s="8" t="n"/>
      <c r="Q40" s="9">
        <f>IF(COUNT(K40:P40)=0,"",SUM(K40:P40))</f>
        <v/>
      </c>
      <c r="R40" s="9">
        <f>IF(Q40="","",ROUND(Q40/(COUNT(K40:P40)*2)*100,0))</f>
        <v/>
      </c>
      <c r="S40" s="9">
        <f>IF(OR(J40="",R40=""),"",R40-J40)</f>
        <v/>
      </c>
      <c r="T40" s="8" t="n"/>
      <c r="U40" s="8" t="n"/>
      <c r="V40" s="9">
        <f>IF(OR(T40="",U40=""),"",U40-T40)</f>
        <v/>
      </c>
    </row>
  </sheetData>
  <mergeCells count="3">
    <mergeCell ref="C3:J3"/>
    <mergeCell ref="T3:V3"/>
    <mergeCell ref="K3:R3"/>
  </mergeCells>
  <dataValidations count="1">
    <dataValidation sqref="C6:H40 K6:P40" showDropDown="0" showInputMessage="0" showErrorMessage="0" allowBlank="1" error="Faqat 0, 1 yoki 2." type="whole" errorStyle="warning" operator="between">
      <formula1>0</formula1>
      <formula2>2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4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14" customWidth="1" min="43" max="43"/>
    <col width="9" customWidth="1" min="44" max="44"/>
    <col width="14" customWidth="1" min="45" max="45"/>
    <col width="14" customWidth="1" min="46" max="46"/>
  </cols>
  <sheetData>
    <row r="1">
      <c r="A1" s="5" t="inlineStr">
        <is>
          <t>7A — Yakuniy (takroriy) test — B variant</t>
        </is>
      </c>
    </row>
    <row r="2">
      <c r="A2" s="6" t="inlineStr">
        <is>
          <t>Har bir o‘quvchi qatoriga u belgilagan harfni (A/B/C/D) yozing. Bo‘sh katak = javob bermagan. Sariq qatordagi kalitni o‘zgartirmang. Kulrang ustunlar avtomatik hisoblanadi.</t>
        </is>
      </c>
    </row>
    <row r="3">
      <c r="C3" s="3" t="inlineStr">
        <is>
          <t>S1</t>
        </is>
      </c>
      <c r="D3" s="3" t="n"/>
      <c r="E3" s="3" t="n"/>
      <c r="F3" s="3" t="n"/>
      <c r="G3" s="3" t="n"/>
      <c r="H3" s="3" t="inlineStr">
        <is>
          <t>S2</t>
        </is>
      </c>
      <c r="I3" s="3" t="n"/>
      <c r="J3" s="3" t="n"/>
      <c r="K3" s="3" t="n"/>
      <c r="L3" s="3" t="n"/>
      <c r="M3" s="3" t="inlineStr">
        <is>
          <t>S3</t>
        </is>
      </c>
      <c r="N3" s="3" t="n"/>
      <c r="O3" s="3" t="n"/>
      <c r="P3" s="3" t="n"/>
      <c r="Q3" s="3" t="n"/>
      <c r="R3" s="3" t="inlineStr">
        <is>
          <t>S4</t>
        </is>
      </c>
      <c r="S3" s="3" t="n"/>
      <c r="T3" s="3" t="n"/>
      <c r="U3" s="3" t="n"/>
      <c r="V3" s="3" t="n"/>
      <c r="W3" s="3" t="inlineStr">
        <is>
          <t>S5</t>
        </is>
      </c>
      <c r="X3" s="3" t="n"/>
      <c r="Y3" s="3" t="n"/>
      <c r="Z3" s="3" t="n"/>
      <c r="AA3" s="3" t="n"/>
      <c r="AB3" s="3" t="inlineStr">
        <is>
          <t>S6</t>
        </is>
      </c>
      <c r="AC3" s="3" t="n"/>
      <c r="AD3" s="3" t="n"/>
      <c r="AE3" s="3" t="n"/>
      <c r="AF3" s="3" t="n"/>
    </row>
    <row r="4" ht="30" customHeight="1">
      <c r="A4" s="3" t="inlineStr">
        <is>
          <t>№</t>
        </is>
      </c>
      <c r="B4" s="3" t="inlineStr">
        <is>
          <t>F.I.Sh.</t>
        </is>
      </c>
      <c r="C4" s="3" t="n">
        <v>1</v>
      </c>
      <c r="D4" s="3" t="n">
        <v>2</v>
      </c>
      <c r="E4" s="3" t="n">
        <v>3</v>
      </c>
      <c r="F4" s="3" t="n">
        <v>4</v>
      </c>
      <c r="G4" s="3" t="n">
        <v>5</v>
      </c>
      <c r="H4" s="3" t="n">
        <v>6</v>
      </c>
      <c r="I4" s="3" t="n">
        <v>7</v>
      </c>
      <c r="J4" s="3" t="n">
        <v>8</v>
      </c>
      <c r="K4" s="3" t="n">
        <v>9</v>
      </c>
      <c r="L4" s="3" t="n">
        <v>10</v>
      </c>
      <c r="M4" s="3" t="n">
        <v>11</v>
      </c>
      <c r="N4" s="3" t="n">
        <v>12</v>
      </c>
      <c r="O4" s="3" t="n">
        <v>13</v>
      </c>
      <c r="P4" s="3" t="n">
        <v>14</v>
      </c>
      <c r="Q4" s="3" t="n">
        <v>15</v>
      </c>
      <c r="R4" s="3" t="n">
        <v>16</v>
      </c>
      <c r="S4" s="3" t="n">
        <v>17</v>
      </c>
      <c r="T4" s="3" t="n">
        <v>18</v>
      </c>
      <c r="U4" s="3" t="n">
        <v>19</v>
      </c>
      <c r="V4" s="3" t="n">
        <v>20</v>
      </c>
      <c r="W4" s="3" t="n">
        <v>21</v>
      </c>
      <c r="X4" s="3" t="n">
        <v>22</v>
      </c>
      <c r="Y4" s="3" t="n">
        <v>23</v>
      </c>
      <c r="Z4" s="3" t="n">
        <v>24</v>
      </c>
      <c r="AA4" s="3" t="n">
        <v>25</v>
      </c>
      <c r="AB4" s="3" t="n">
        <v>26</v>
      </c>
      <c r="AC4" s="3" t="n">
        <v>27</v>
      </c>
      <c r="AD4" s="3" t="n">
        <v>28</v>
      </c>
      <c r="AE4" s="3" t="n">
        <v>29</v>
      </c>
      <c r="AF4" s="3" t="n">
        <v>30</v>
      </c>
      <c r="AG4" s="3" t="inlineStr">
        <is>
          <t>S1</t>
        </is>
      </c>
      <c r="AH4" s="3" t="inlineStr">
        <is>
          <t>S2</t>
        </is>
      </c>
      <c r="AI4" s="3" t="inlineStr">
        <is>
          <t>S3</t>
        </is>
      </c>
      <c r="AJ4" s="3" t="inlineStr">
        <is>
          <t>S4</t>
        </is>
      </c>
      <c r="AK4" s="3" t="inlineStr">
        <is>
          <t>S5</t>
        </is>
      </c>
      <c r="AL4" s="3" t="inlineStr">
        <is>
          <t>S6</t>
        </is>
      </c>
      <c r="AM4" s="3" t="inlineStr">
        <is>
          <t>Tayanch %</t>
        </is>
      </c>
      <c r="AN4" s="3" t="inlineStr">
        <is>
          <t>7-sinf %</t>
        </is>
      </c>
      <c r="AO4" s="3" t="inlineStr">
        <is>
          <t>Ball (30)</t>
        </is>
      </c>
      <c r="AP4" s="3" t="inlineStr">
        <is>
          <t>Jami %</t>
        </is>
      </c>
      <c r="AQ4" s="3" t="inlineStr">
        <is>
          <t>Daraja</t>
        </is>
      </c>
      <c r="AR4" s="3" t="inlineStr">
        <is>
          <t>10 ball</t>
        </is>
      </c>
      <c r="AS4" s="3" t="inlineStr">
        <is>
          <t>7-sinfga moslik</t>
        </is>
      </c>
      <c r="AT4" s="3" t="inlineStr">
        <is>
          <t>Guruh (taklif)</t>
        </is>
      </c>
    </row>
    <row r="5">
      <c r="B5" s="2" t="inlineStr">
        <is>
          <t>KALIT →</t>
        </is>
      </c>
      <c r="C5" s="7" t="inlineStr">
        <is>
          <t>D</t>
        </is>
      </c>
      <c r="D5" s="7" t="inlineStr">
        <is>
          <t>B</t>
        </is>
      </c>
      <c r="E5" s="7" t="inlineStr">
        <is>
          <t>A</t>
        </is>
      </c>
      <c r="F5" s="7" t="inlineStr">
        <is>
          <t>D</t>
        </is>
      </c>
      <c r="G5" s="7" t="inlineStr">
        <is>
          <t>C</t>
        </is>
      </c>
      <c r="H5" s="7" t="inlineStr">
        <is>
          <t>B</t>
        </is>
      </c>
      <c r="I5" s="7" t="inlineStr">
        <is>
          <t>A</t>
        </is>
      </c>
      <c r="J5" s="7" t="inlineStr">
        <is>
          <t>B</t>
        </is>
      </c>
      <c r="K5" s="7" t="inlineStr">
        <is>
          <t>C</t>
        </is>
      </c>
      <c r="L5" s="7" t="inlineStr">
        <is>
          <t>D</t>
        </is>
      </c>
      <c r="M5" s="7" t="inlineStr">
        <is>
          <t>B</t>
        </is>
      </c>
      <c r="N5" s="7" t="inlineStr">
        <is>
          <t>D</t>
        </is>
      </c>
      <c r="O5" s="7" t="inlineStr">
        <is>
          <t>B</t>
        </is>
      </c>
      <c r="P5" s="7" t="inlineStr">
        <is>
          <t>C</t>
        </is>
      </c>
      <c r="Q5" s="7" t="inlineStr">
        <is>
          <t>B</t>
        </is>
      </c>
      <c r="R5" s="7" t="inlineStr">
        <is>
          <t>D</t>
        </is>
      </c>
      <c r="S5" s="7" t="inlineStr">
        <is>
          <t>A</t>
        </is>
      </c>
      <c r="T5" s="7" t="inlineStr">
        <is>
          <t>D</t>
        </is>
      </c>
      <c r="U5" s="7" t="inlineStr">
        <is>
          <t>C</t>
        </is>
      </c>
      <c r="V5" s="7" t="inlineStr">
        <is>
          <t>C</t>
        </is>
      </c>
      <c r="W5" s="7" t="inlineStr">
        <is>
          <t>A</t>
        </is>
      </c>
      <c r="X5" s="7" t="inlineStr">
        <is>
          <t>C</t>
        </is>
      </c>
      <c r="Y5" s="7" t="inlineStr">
        <is>
          <t>A</t>
        </is>
      </c>
      <c r="Z5" s="7" t="inlineStr">
        <is>
          <t>D</t>
        </is>
      </c>
      <c r="AA5" s="7" t="inlineStr">
        <is>
          <t>B</t>
        </is>
      </c>
      <c r="AB5" s="7" t="inlineStr">
        <is>
          <t>D</t>
        </is>
      </c>
      <c r="AC5" s="7" t="inlineStr">
        <is>
          <t>B</t>
        </is>
      </c>
      <c r="AD5" s="7" t="inlineStr">
        <is>
          <t>A</t>
        </is>
      </c>
      <c r="AE5" s="7" t="inlineStr">
        <is>
          <t>C</t>
        </is>
      </c>
      <c r="AF5" s="7" t="inlineStr">
        <is>
          <t>C</t>
        </is>
      </c>
    </row>
    <row r="6">
      <c r="A6" s="4" t="n">
        <v>1</v>
      </c>
      <c r="B6" s="4">
        <f>IF(Royxat!B2="","",Royxat!B2)</f>
        <v/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9">
        <f>IF(COUNTA($C6:$AF6)=0,"",SUMPRODUCT(--(UPPER(TRIM(C6:G6))=C$5:G$5)))</f>
        <v/>
      </c>
      <c r="AH6" s="9">
        <f>IF(COUNTA($C6:$AF6)=0,"",SUMPRODUCT(--(UPPER(TRIM(H6:L6))=H$5:L$5)))</f>
        <v/>
      </c>
      <c r="AI6" s="9">
        <f>IF(COUNTA($C6:$AF6)=0,"",SUMPRODUCT(--(UPPER(TRIM(M6:Q6))=M$5:Q$5)))</f>
        <v/>
      </c>
      <c r="AJ6" s="9">
        <f>IF(COUNTA($C6:$AF6)=0,"",SUMPRODUCT(--(UPPER(TRIM(R6:V6))=R$5:V$5)))</f>
        <v/>
      </c>
      <c r="AK6" s="9">
        <f>IF(COUNTA($C6:$AF6)=0,"",SUMPRODUCT(--(UPPER(TRIM(W6:AA6))=W$5:AA$5)))</f>
        <v/>
      </c>
      <c r="AL6" s="9">
        <f>IF(COUNTA($C6:$AF6)=0,"",SUMPRODUCT(--(UPPER(TRIM(AB6:AF6))=AB$5:AF$5)))</f>
        <v/>
      </c>
      <c r="AM6" s="9">
        <f>IF(AG6="","",ROUND((AG6+AH6+AI6)/15*100,0))</f>
        <v/>
      </c>
      <c r="AN6" s="9">
        <f>IF(AG6="","",ROUND((AJ6+AK6+AL6)/15*100,0))</f>
        <v/>
      </c>
      <c r="AO6" s="9">
        <f>IF(AG6="","",SUM(AG6:AL6))</f>
        <v/>
      </c>
      <c r="AP6" s="9">
        <f>IF(AO6="","",ROUND(AO6/30*100,0))</f>
        <v/>
      </c>
      <c r="AQ6" s="9">
        <f>IF(AP6="","",IF(AP6&gt;=Darajalar!$B$2,"Yuqori",IF(AP6&gt;=Darajalar!$B$3,"Yaxshi",IF(AP6&gt;=Darajalar!$B$4,"O‘rta","Boshlang‘ich"))))</f>
        <v/>
      </c>
      <c r="AR6" s="9">
        <f>IF(AP6="","",ROUND(AP6/10,0))</f>
        <v/>
      </c>
      <c r="AS6" s="9">
        <f>IF(AM6="","",IF(AM6&gt;=Darajalar!$B$3,"Mos",IF(AM6&gt;=Darajalar!$B$4,"Qisman mos","Mos emas")))</f>
        <v/>
      </c>
      <c r="AT6" s="9">
        <f>IF(AP6="","",IF(AND(AP6&gt;=75,OR(Amaliy!R6="",Amaliy!R6&gt;=75)),"Ilg‘or",IF(OR(AP6&lt;45,AND(Amaliy!R6&lt;&gt;"",Amaliy!R6&lt;45)),"Yordam","Asosiy")))</f>
        <v/>
      </c>
    </row>
    <row r="7">
      <c r="A7" s="4" t="n">
        <v>2</v>
      </c>
      <c r="B7" s="4">
        <f>IF(Royxat!B3="","",Royxat!B3)</f>
        <v/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9">
        <f>IF(COUNTA($C7:$AF7)=0,"",SUMPRODUCT(--(UPPER(TRIM(C7:G7))=C$5:G$5)))</f>
        <v/>
      </c>
      <c r="AH7" s="9">
        <f>IF(COUNTA($C7:$AF7)=0,"",SUMPRODUCT(--(UPPER(TRIM(H7:L7))=H$5:L$5)))</f>
        <v/>
      </c>
      <c r="AI7" s="9">
        <f>IF(COUNTA($C7:$AF7)=0,"",SUMPRODUCT(--(UPPER(TRIM(M7:Q7))=M$5:Q$5)))</f>
        <v/>
      </c>
      <c r="AJ7" s="9">
        <f>IF(COUNTA($C7:$AF7)=0,"",SUMPRODUCT(--(UPPER(TRIM(R7:V7))=R$5:V$5)))</f>
        <v/>
      </c>
      <c r="AK7" s="9">
        <f>IF(COUNTA($C7:$AF7)=0,"",SUMPRODUCT(--(UPPER(TRIM(W7:AA7))=W$5:AA$5)))</f>
        <v/>
      </c>
      <c r="AL7" s="9">
        <f>IF(COUNTA($C7:$AF7)=0,"",SUMPRODUCT(--(UPPER(TRIM(AB7:AF7))=AB$5:AF$5)))</f>
        <v/>
      </c>
      <c r="AM7" s="9">
        <f>IF(AG7="","",ROUND((AG7+AH7+AI7)/15*100,0))</f>
        <v/>
      </c>
      <c r="AN7" s="9">
        <f>IF(AG7="","",ROUND((AJ7+AK7+AL7)/15*100,0))</f>
        <v/>
      </c>
      <c r="AO7" s="9">
        <f>IF(AG7="","",SUM(AG7:AL7))</f>
        <v/>
      </c>
      <c r="AP7" s="9">
        <f>IF(AO7="","",ROUND(AO7/30*100,0))</f>
        <v/>
      </c>
      <c r="AQ7" s="9">
        <f>IF(AP7="","",IF(AP7&gt;=Darajalar!$B$2,"Yuqori",IF(AP7&gt;=Darajalar!$B$3,"Yaxshi",IF(AP7&gt;=Darajalar!$B$4,"O‘rta","Boshlang‘ich"))))</f>
        <v/>
      </c>
      <c r="AR7" s="9">
        <f>IF(AP7="","",ROUND(AP7/10,0))</f>
        <v/>
      </c>
      <c r="AS7" s="9">
        <f>IF(AM7="","",IF(AM7&gt;=Darajalar!$B$3,"Mos",IF(AM7&gt;=Darajalar!$B$4,"Qisman mos","Mos emas")))</f>
        <v/>
      </c>
      <c r="AT7" s="9">
        <f>IF(AP7="","",IF(AND(AP7&gt;=75,OR(Amaliy!R7="",Amaliy!R7&gt;=75)),"Ilg‘or",IF(OR(AP7&lt;45,AND(Amaliy!R7&lt;&gt;"",Amaliy!R7&lt;45)),"Yordam","Asosiy")))</f>
        <v/>
      </c>
    </row>
    <row r="8">
      <c r="A8" s="4" t="n">
        <v>3</v>
      </c>
      <c r="B8" s="4">
        <f>IF(Royxat!B4="","",Royxat!B4)</f>
        <v/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9">
        <f>IF(COUNTA($C8:$AF8)=0,"",SUMPRODUCT(--(UPPER(TRIM(C8:G8))=C$5:G$5)))</f>
        <v/>
      </c>
      <c r="AH8" s="9">
        <f>IF(COUNTA($C8:$AF8)=0,"",SUMPRODUCT(--(UPPER(TRIM(H8:L8))=H$5:L$5)))</f>
        <v/>
      </c>
      <c r="AI8" s="9">
        <f>IF(COUNTA($C8:$AF8)=0,"",SUMPRODUCT(--(UPPER(TRIM(M8:Q8))=M$5:Q$5)))</f>
        <v/>
      </c>
      <c r="AJ8" s="9">
        <f>IF(COUNTA($C8:$AF8)=0,"",SUMPRODUCT(--(UPPER(TRIM(R8:V8))=R$5:V$5)))</f>
        <v/>
      </c>
      <c r="AK8" s="9">
        <f>IF(COUNTA($C8:$AF8)=0,"",SUMPRODUCT(--(UPPER(TRIM(W8:AA8))=W$5:AA$5)))</f>
        <v/>
      </c>
      <c r="AL8" s="9">
        <f>IF(COUNTA($C8:$AF8)=0,"",SUMPRODUCT(--(UPPER(TRIM(AB8:AF8))=AB$5:AF$5)))</f>
        <v/>
      </c>
      <c r="AM8" s="9">
        <f>IF(AG8="","",ROUND((AG8+AH8+AI8)/15*100,0))</f>
        <v/>
      </c>
      <c r="AN8" s="9">
        <f>IF(AG8="","",ROUND((AJ8+AK8+AL8)/15*100,0))</f>
        <v/>
      </c>
      <c r="AO8" s="9">
        <f>IF(AG8="","",SUM(AG8:AL8))</f>
        <v/>
      </c>
      <c r="AP8" s="9">
        <f>IF(AO8="","",ROUND(AO8/30*100,0))</f>
        <v/>
      </c>
      <c r="AQ8" s="9">
        <f>IF(AP8="","",IF(AP8&gt;=Darajalar!$B$2,"Yuqori",IF(AP8&gt;=Darajalar!$B$3,"Yaxshi",IF(AP8&gt;=Darajalar!$B$4,"O‘rta","Boshlang‘ich"))))</f>
        <v/>
      </c>
      <c r="AR8" s="9">
        <f>IF(AP8="","",ROUND(AP8/10,0))</f>
        <v/>
      </c>
      <c r="AS8" s="9">
        <f>IF(AM8="","",IF(AM8&gt;=Darajalar!$B$3,"Mos",IF(AM8&gt;=Darajalar!$B$4,"Qisman mos","Mos emas")))</f>
        <v/>
      </c>
      <c r="AT8" s="9">
        <f>IF(AP8="","",IF(AND(AP8&gt;=75,OR(Amaliy!R8="",Amaliy!R8&gt;=75)),"Ilg‘or",IF(OR(AP8&lt;45,AND(Amaliy!R8&lt;&gt;"",Amaliy!R8&lt;45)),"Yordam","Asosiy")))</f>
        <v/>
      </c>
    </row>
    <row r="9">
      <c r="A9" s="4" t="n">
        <v>4</v>
      </c>
      <c r="B9" s="4">
        <f>IF(Royxat!B5="","",Royxat!B5)</f>
        <v/>
      </c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9">
        <f>IF(COUNTA($C9:$AF9)=0,"",SUMPRODUCT(--(UPPER(TRIM(C9:G9))=C$5:G$5)))</f>
        <v/>
      </c>
      <c r="AH9" s="9">
        <f>IF(COUNTA($C9:$AF9)=0,"",SUMPRODUCT(--(UPPER(TRIM(H9:L9))=H$5:L$5)))</f>
        <v/>
      </c>
      <c r="AI9" s="9">
        <f>IF(COUNTA($C9:$AF9)=0,"",SUMPRODUCT(--(UPPER(TRIM(M9:Q9))=M$5:Q$5)))</f>
        <v/>
      </c>
      <c r="AJ9" s="9">
        <f>IF(COUNTA($C9:$AF9)=0,"",SUMPRODUCT(--(UPPER(TRIM(R9:V9))=R$5:V$5)))</f>
        <v/>
      </c>
      <c r="AK9" s="9">
        <f>IF(COUNTA($C9:$AF9)=0,"",SUMPRODUCT(--(UPPER(TRIM(W9:AA9))=W$5:AA$5)))</f>
        <v/>
      </c>
      <c r="AL9" s="9">
        <f>IF(COUNTA($C9:$AF9)=0,"",SUMPRODUCT(--(UPPER(TRIM(AB9:AF9))=AB$5:AF$5)))</f>
        <v/>
      </c>
      <c r="AM9" s="9">
        <f>IF(AG9="","",ROUND((AG9+AH9+AI9)/15*100,0))</f>
        <v/>
      </c>
      <c r="AN9" s="9">
        <f>IF(AG9="","",ROUND((AJ9+AK9+AL9)/15*100,0))</f>
        <v/>
      </c>
      <c r="AO9" s="9">
        <f>IF(AG9="","",SUM(AG9:AL9))</f>
        <v/>
      </c>
      <c r="AP9" s="9">
        <f>IF(AO9="","",ROUND(AO9/30*100,0))</f>
        <v/>
      </c>
      <c r="AQ9" s="9">
        <f>IF(AP9="","",IF(AP9&gt;=Darajalar!$B$2,"Yuqori",IF(AP9&gt;=Darajalar!$B$3,"Yaxshi",IF(AP9&gt;=Darajalar!$B$4,"O‘rta","Boshlang‘ich"))))</f>
        <v/>
      </c>
      <c r="AR9" s="9">
        <f>IF(AP9="","",ROUND(AP9/10,0))</f>
        <v/>
      </c>
      <c r="AS9" s="9">
        <f>IF(AM9="","",IF(AM9&gt;=Darajalar!$B$3,"Mos",IF(AM9&gt;=Darajalar!$B$4,"Qisman mos","Mos emas")))</f>
        <v/>
      </c>
      <c r="AT9" s="9">
        <f>IF(AP9="","",IF(AND(AP9&gt;=75,OR(Amaliy!R9="",Amaliy!R9&gt;=75)),"Ilg‘or",IF(OR(AP9&lt;45,AND(Amaliy!R9&lt;&gt;"",Amaliy!R9&lt;45)),"Yordam","Asosiy")))</f>
        <v/>
      </c>
    </row>
    <row r="10">
      <c r="A10" s="4" t="n">
        <v>5</v>
      </c>
      <c r="B10" s="4">
        <f>IF(Royxat!B6="","",Royxat!B6)</f>
        <v/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9">
        <f>IF(COUNTA($C10:$AF10)=0,"",SUMPRODUCT(--(UPPER(TRIM(C10:G10))=C$5:G$5)))</f>
        <v/>
      </c>
      <c r="AH10" s="9">
        <f>IF(COUNTA($C10:$AF10)=0,"",SUMPRODUCT(--(UPPER(TRIM(H10:L10))=H$5:L$5)))</f>
        <v/>
      </c>
      <c r="AI10" s="9">
        <f>IF(COUNTA($C10:$AF10)=0,"",SUMPRODUCT(--(UPPER(TRIM(M10:Q10))=M$5:Q$5)))</f>
        <v/>
      </c>
      <c r="AJ10" s="9">
        <f>IF(COUNTA($C10:$AF10)=0,"",SUMPRODUCT(--(UPPER(TRIM(R10:V10))=R$5:V$5)))</f>
        <v/>
      </c>
      <c r="AK10" s="9">
        <f>IF(COUNTA($C10:$AF10)=0,"",SUMPRODUCT(--(UPPER(TRIM(W10:AA10))=W$5:AA$5)))</f>
        <v/>
      </c>
      <c r="AL10" s="9">
        <f>IF(COUNTA($C10:$AF10)=0,"",SUMPRODUCT(--(UPPER(TRIM(AB10:AF10))=AB$5:AF$5)))</f>
        <v/>
      </c>
      <c r="AM10" s="9">
        <f>IF(AG10="","",ROUND((AG10+AH10+AI10)/15*100,0))</f>
        <v/>
      </c>
      <c r="AN10" s="9">
        <f>IF(AG10="","",ROUND((AJ10+AK10+AL10)/15*100,0))</f>
        <v/>
      </c>
      <c r="AO10" s="9">
        <f>IF(AG10="","",SUM(AG10:AL10))</f>
        <v/>
      </c>
      <c r="AP10" s="9">
        <f>IF(AO10="","",ROUND(AO10/30*100,0))</f>
        <v/>
      </c>
      <c r="AQ10" s="9">
        <f>IF(AP10="","",IF(AP10&gt;=Darajalar!$B$2,"Yuqori",IF(AP10&gt;=Darajalar!$B$3,"Yaxshi",IF(AP10&gt;=Darajalar!$B$4,"O‘rta","Boshlang‘ich"))))</f>
        <v/>
      </c>
      <c r="AR10" s="9">
        <f>IF(AP10="","",ROUND(AP10/10,0))</f>
        <v/>
      </c>
      <c r="AS10" s="9">
        <f>IF(AM10="","",IF(AM10&gt;=Darajalar!$B$3,"Mos",IF(AM10&gt;=Darajalar!$B$4,"Qisman mos","Mos emas")))</f>
        <v/>
      </c>
      <c r="AT10" s="9">
        <f>IF(AP10="","",IF(AND(AP10&gt;=75,OR(Amaliy!R10="",Amaliy!R10&gt;=75)),"Ilg‘or",IF(OR(AP10&lt;45,AND(Amaliy!R10&lt;&gt;"",Amaliy!R10&lt;45)),"Yordam","Asosiy")))</f>
        <v/>
      </c>
    </row>
    <row r="11">
      <c r="A11" s="4" t="n">
        <v>6</v>
      </c>
      <c r="B11" s="4">
        <f>IF(Royxat!B7="","",Royxat!B7)</f>
        <v/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9">
        <f>IF(COUNTA($C11:$AF11)=0,"",SUMPRODUCT(--(UPPER(TRIM(C11:G11))=C$5:G$5)))</f>
        <v/>
      </c>
      <c r="AH11" s="9">
        <f>IF(COUNTA($C11:$AF11)=0,"",SUMPRODUCT(--(UPPER(TRIM(H11:L11))=H$5:L$5)))</f>
        <v/>
      </c>
      <c r="AI11" s="9">
        <f>IF(COUNTA($C11:$AF11)=0,"",SUMPRODUCT(--(UPPER(TRIM(M11:Q11))=M$5:Q$5)))</f>
        <v/>
      </c>
      <c r="AJ11" s="9">
        <f>IF(COUNTA($C11:$AF11)=0,"",SUMPRODUCT(--(UPPER(TRIM(R11:V11))=R$5:V$5)))</f>
        <v/>
      </c>
      <c r="AK11" s="9">
        <f>IF(COUNTA($C11:$AF11)=0,"",SUMPRODUCT(--(UPPER(TRIM(W11:AA11))=W$5:AA$5)))</f>
        <v/>
      </c>
      <c r="AL11" s="9">
        <f>IF(COUNTA($C11:$AF11)=0,"",SUMPRODUCT(--(UPPER(TRIM(AB11:AF11))=AB$5:AF$5)))</f>
        <v/>
      </c>
      <c r="AM11" s="9">
        <f>IF(AG11="","",ROUND((AG11+AH11+AI11)/15*100,0))</f>
        <v/>
      </c>
      <c r="AN11" s="9">
        <f>IF(AG11="","",ROUND((AJ11+AK11+AL11)/15*100,0))</f>
        <v/>
      </c>
      <c r="AO11" s="9">
        <f>IF(AG11="","",SUM(AG11:AL11))</f>
        <v/>
      </c>
      <c r="AP11" s="9">
        <f>IF(AO11="","",ROUND(AO11/30*100,0))</f>
        <v/>
      </c>
      <c r="AQ11" s="9">
        <f>IF(AP11="","",IF(AP11&gt;=Darajalar!$B$2,"Yuqori",IF(AP11&gt;=Darajalar!$B$3,"Yaxshi",IF(AP11&gt;=Darajalar!$B$4,"O‘rta","Boshlang‘ich"))))</f>
        <v/>
      </c>
      <c r="AR11" s="9">
        <f>IF(AP11="","",ROUND(AP11/10,0))</f>
        <v/>
      </c>
      <c r="AS11" s="9">
        <f>IF(AM11="","",IF(AM11&gt;=Darajalar!$B$3,"Mos",IF(AM11&gt;=Darajalar!$B$4,"Qisman mos","Mos emas")))</f>
        <v/>
      </c>
      <c r="AT11" s="9">
        <f>IF(AP11="","",IF(AND(AP11&gt;=75,OR(Amaliy!R11="",Amaliy!R11&gt;=75)),"Ilg‘or",IF(OR(AP11&lt;45,AND(Amaliy!R11&lt;&gt;"",Amaliy!R11&lt;45)),"Yordam","Asosiy")))</f>
        <v/>
      </c>
    </row>
    <row r="12">
      <c r="A12" s="4" t="n">
        <v>7</v>
      </c>
      <c r="B12" s="4">
        <f>IF(Royxat!B8="","",Royxat!B8)</f>
        <v/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9">
        <f>IF(COUNTA($C12:$AF12)=0,"",SUMPRODUCT(--(UPPER(TRIM(C12:G12))=C$5:G$5)))</f>
        <v/>
      </c>
      <c r="AH12" s="9">
        <f>IF(COUNTA($C12:$AF12)=0,"",SUMPRODUCT(--(UPPER(TRIM(H12:L12))=H$5:L$5)))</f>
        <v/>
      </c>
      <c r="AI12" s="9">
        <f>IF(COUNTA($C12:$AF12)=0,"",SUMPRODUCT(--(UPPER(TRIM(M12:Q12))=M$5:Q$5)))</f>
        <v/>
      </c>
      <c r="AJ12" s="9">
        <f>IF(COUNTA($C12:$AF12)=0,"",SUMPRODUCT(--(UPPER(TRIM(R12:V12))=R$5:V$5)))</f>
        <v/>
      </c>
      <c r="AK12" s="9">
        <f>IF(COUNTA($C12:$AF12)=0,"",SUMPRODUCT(--(UPPER(TRIM(W12:AA12))=W$5:AA$5)))</f>
        <v/>
      </c>
      <c r="AL12" s="9">
        <f>IF(COUNTA($C12:$AF12)=0,"",SUMPRODUCT(--(UPPER(TRIM(AB12:AF12))=AB$5:AF$5)))</f>
        <v/>
      </c>
      <c r="AM12" s="9">
        <f>IF(AG12="","",ROUND((AG12+AH12+AI12)/15*100,0))</f>
        <v/>
      </c>
      <c r="AN12" s="9">
        <f>IF(AG12="","",ROUND((AJ12+AK12+AL12)/15*100,0))</f>
        <v/>
      </c>
      <c r="AO12" s="9">
        <f>IF(AG12="","",SUM(AG12:AL12))</f>
        <v/>
      </c>
      <c r="AP12" s="9">
        <f>IF(AO12="","",ROUND(AO12/30*100,0))</f>
        <v/>
      </c>
      <c r="AQ12" s="9">
        <f>IF(AP12="","",IF(AP12&gt;=Darajalar!$B$2,"Yuqori",IF(AP12&gt;=Darajalar!$B$3,"Yaxshi",IF(AP12&gt;=Darajalar!$B$4,"O‘rta","Boshlang‘ich"))))</f>
        <v/>
      </c>
      <c r="AR12" s="9">
        <f>IF(AP12="","",ROUND(AP12/10,0))</f>
        <v/>
      </c>
      <c r="AS12" s="9">
        <f>IF(AM12="","",IF(AM12&gt;=Darajalar!$B$3,"Mos",IF(AM12&gt;=Darajalar!$B$4,"Qisman mos","Mos emas")))</f>
        <v/>
      </c>
      <c r="AT12" s="9">
        <f>IF(AP12="","",IF(AND(AP12&gt;=75,OR(Amaliy!R12="",Amaliy!R12&gt;=75)),"Ilg‘or",IF(OR(AP12&lt;45,AND(Amaliy!R12&lt;&gt;"",Amaliy!R12&lt;45)),"Yordam","Asosiy")))</f>
        <v/>
      </c>
    </row>
    <row r="13">
      <c r="A13" s="4" t="n">
        <v>8</v>
      </c>
      <c r="B13" s="4">
        <f>IF(Royxat!B9="","",Royxat!B9)</f>
        <v/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9">
        <f>IF(COUNTA($C13:$AF13)=0,"",SUMPRODUCT(--(UPPER(TRIM(C13:G13))=C$5:G$5)))</f>
        <v/>
      </c>
      <c r="AH13" s="9">
        <f>IF(COUNTA($C13:$AF13)=0,"",SUMPRODUCT(--(UPPER(TRIM(H13:L13))=H$5:L$5)))</f>
        <v/>
      </c>
      <c r="AI13" s="9">
        <f>IF(COUNTA($C13:$AF13)=0,"",SUMPRODUCT(--(UPPER(TRIM(M13:Q13))=M$5:Q$5)))</f>
        <v/>
      </c>
      <c r="AJ13" s="9">
        <f>IF(COUNTA($C13:$AF13)=0,"",SUMPRODUCT(--(UPPER(TRIM(R13:V13))=R$5:V$5)))</f>
        <v/>
      </c>
      <c r="AK13" s="9">
        <f>IF(COUNTA($C13:$AF13)=0,"",SUMPRODUCT(--(UPPER(TRIM(W13:AA13))=W$5:AA$5)))</f>
        <v/>
      </c>
      <c r="AL13" s="9">
        <f>IF(COUNTA($C13:$AF13)=0,"",SUMPRODUCT(--(UPPER(TRIM(AB13:AF13))=AB$5:AF$5)))</f>
        <v/>
      </c>
      <c r="AM13" s="9">
        <f>IF(AG13="","",ROUND((AG13+AH13+AI13)/15*100,0))</f>
        <v/>
      </c>
      <c r="AN13" s="9">
        <f>IF(AG13="","",ROUND((AJ13+AK13+AL13)/15*100,0))</f>
        <v/>
      </c>
      <c r="AO13" s="9">
        <f>IF(AG13="","",SUM(AG13:AL13))</f>
        <v/>
      </c>
      <c r="AP13" s="9">
        <f>IF(AO13="","",ROUND(AO13/30*100,0))</f>
        <v/>
      </c>
      <c r="AQ13" s="9">
        <f>IF(AP13="","",IF(AP13&gt;=Darajalar!$B$2,"Yuqori",IF(AP13&gt;=Darajalar!$B$3,"Yaxshi",IF(AP13&gt;=Darajalar!$B$4,"O‘rta","Boshlang‘ich"))))</f>
        <v/>
      </c>
      <c r="AR13" s="9">
        <f>IF(AP13="","",ROUND(AP13/10,0))</f>
        <v/>
      </c>
      <c r="AS13" s="9">
        <f>IF(AM13="","",IF(AM13&gt;=Darajalar!$B$3,"Mos",IF(AM13&gt;=Darajalar!$B$4,"Qisman mos","Mos emas")))</f>
        <v/>
      </c>
      <c r="AT13" s="9">
        <f>IF(AP13="","",IF(AND(AP13&gt;=75,OR(Amaliy!R13="",Amaliy!R13&gt;=75)),"Ilg‘or",IF(OR(AP13&lt;45,AND(Amaliy!R13&lt;&gt;"",Amaliy!R13&lt;45)),"Yordam","Asosiy")))</f>
        <v/>
      </c>
    </row>
    <row r="14">
      <c r="A14" s="4" t="n">
        <v>9</v>
      </c>
      <c r="B14" s="4">
        <f>IF(Royxat!B10="","",Royxat!B10)</f>
        <v/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9">
        <f>IF(COUNTA($C14:$AF14)=0,"",SUMPRODUCT(--(UPPER(TRIM(C14:G14))=C$5:G$5)))</f>
        <v/>
      </c>
      <c r="AH14" s="9">
        <f>IF(COUNTA($C14:$AF14)=0,"",SUMPRODUCT(--(UPPER(TRIM(H14:L14))=H$5:L$5)))</f>
        <v/>
      </c>
      <c r="AI14" s="9">
        <f>IF(COUNTA($C14:$AF14)=0,"",SUMPRODUCT(--(UPPER(TRIM(M14:Q14))=M$5:Q$5)))</f>
        <v/>
      </c>
      <c r="AJ14" s="9">
        <f>IF(COUNTA($C14:$AF14)=0,"",SUMPRODUCT(--(UPPER(TRIM(R14:V14))=R$5:V$5)))</f>
        <v/>
      </c>
      <c r="AK14" s="9">
        <f>IF(COUNTA($C14:$AF14)=0,"",SUMPRODUCT(--(UPPER(TRIM(W14:AA14))=W$5:AA$5)))</f>
        <v/>
      </c>
      <c r="AL14" s="9">
        <f>IF(COUNTA($C14:$AF14)=0,"",SUMPRODUCT(--(UPPER(TRIM(AB14:AF14))=AB$5:AF$5)))</f>
        <v/>
      </c>
      <c r="AM14" s="9">
        <f>IF(AG14="","",ROUND((AG14+AH14+AI14)/15*100,0))</f>
        <v/>
      </c>
      <c r="AN14" s="9">
        <f>IF(AG14="","",ROUND((AJ14+AK14+AL14)/15*100,0))</f>
        <v/>
      </c>
      <c r="AO14" s="9">
        <f>IF(AG14="","",SUM(AG14:AL14))</f>
        <v/>
      </c>
      <c r="AP14" s="9">
        <f>IF(AO14="","",ROUND(AO14/30*100,0))</f>
        <v/>
      </c>
      <c r="AQ14" s="9">
        <f>IF(AP14="","",IF(AP14&gt;=Darajalar!$B$2,"Yuqori",IF(AP14&gt;=Darajalar!$B$3,"Yaxshi",IF(AP14&gt;=Darajalar!$B$4,"O‘rta","Boshlang‘ich"))))</f>
        <v/>
      </c>
      <c r="AR14" s="9">
        <f>IF(AP14="","",ROUND(AP14/10,0))</f>
        <v/>
      </c>
      <c r="AS14" s="9">
        <f>IF(AM14="","",IF(AM14&gt;=Darajalar!$B$3,"Mos",IF(AM14&gt;=Darajalar!$B$4,"Qisman mos","Mos emas")))</f>
        <v/>
      </c>
      <c r="AT14" s="9">
        <f>IF(AP14="","",IF(AND(AP14&gt;=75,OR(Amaliy!R14="",Amaliy!R14&gt;=75)),"Ilg‘or",IF(OR(AP14&lt;45,AND(Amaliy!R14&lt;&gt;"",Amaliy!R14&lt;45)),"Yordam","Asosiy")))</f>
        <v/>
      </c>
    </row>
    <row r="15">
      <c r="A15" s="4" t="n">
        <v>10</v>
      </c>
      <c r="B15" s="4">
        <f>IF(Royxat!B11="","",Royxat!B11)</f>
        <v/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9">
        <f>IF(COUNTA($C15:$AF15)=0,"",SUMPRODUCT(--(UPPER(TRIM(C15:G15))=C$5:G$5)))</f>
        <v/>
      </c>
      <c r="AH15" s="9">
        <f>IF(COUNTA($C15:$AF15)=0,"",SUMPRODUCT(--(UPPER(TRIM(H15:L15))=H$5:L$5)))</f>
        <v/>
      </c>
      <c r="AI15" s="9">
        <f>IF(COUNTA($C15:$AF15)=0,"",SUMPRODUCT(--(UPPER(TRIM(M15:Q15))=M$5:Q$5)))</f>
        <v/>
      </c>
      <c r="AJ15" s="9">
        <f>IF(COUNTA($C15:$AF15)=0,"",SUMPRODUCT(--(UPPER(TRIM(R15:V15))=R$5:V$5)))</f>
        <v/>
      </c>
      <c r="AK15" s="9">
        <f>IF(COUNTA($C15:$AF15)=0,"",SUMPRODUCT(--(UPPER(TRIM(W15:AA15))=W$5:AA$5)))</f>
        <v/>
      </c>
      <c r="AL15" s="9">
        <f>IF(COUNTA($C15:$AF15)=0,"",SUMPRODUCT(--(UPPER(TRIM(AB15:AF15))=AB$5:AF$5)))</f>
        <v/>
      </c>
      <c r="AM15" s="9">
        <f>IF(AG15="","",ROUND((AG15+AH15+AI15)/15*100,0))</f>
        <v/>
      </c>
      <c r="AN15" s="9">
        <f>IF(AG15="","",ROUND((AJ15+AK15+AL15)/15*100,0))</f>
        <v/>
      </c>
      <c r="AO15" s="9">
        <f>IF(AG15="","",SUM(AG15:AL15))</f>
        <v/>
      </c>
      <c r="AP15" s="9">
        <f>IF(AO15="","",ROUND(AO15/30*100,0))</f>
        <v/>
      </c>
      <c r="AQ15" s="9">
        <f>IF(AP15="","",IF(AP15&gt;=Darajalar!$B$2,"Yuqori",IF(AP15&gt;=Darajalar!$B$3,"Yaxshi",IF(AP15&gt;=Darajalar!$B$4,"O‘rta","Boshlang‘ich"))))</f>
        <v/>
      </c>
      <c r="AR15" s="9">
        <f>IF(AP15="","",ROUND(AP15/10,0))</f>
        <v/>
      </c>
      <c r="AS15" s="9">
        <f>IF(AM15="","",IF(AM15&gt;=Darajalar!$B$3,"Mos",IF(AM15&gt;=Darajalar!$B$4,"Qisman mos","Mos emas")))</f>
        <v/>
      </c>
      <c r="AT15" s="9">
        <f>IF(AP15="","",IF(AND(AP15&gt;=75,OR(Amaliy!R15="",Amaliy!R15&gt;=75)),"Ilg‘or",IF(OR(AP15&lt;45,AND(Amaliy!R15&lt;&gt;"",Amaliy!R15&lt;45)),"Yordam","Asosiy")))</f>
        <v/>
      </c>
    </row>
    <row r="16">
      <c r="A16" s="4" t="n">
        <v>11</v>
      </c>
      <c r="B16" s="4">
        <f>IF(Royxat!B12="","",Royxat!B12)</f>
        <v/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9">
        <f>IF(COUNTA($C16:$AF16)=0,"",SUMPRODUCT(--(UPPER(TRIM(C16:G16))=C$5:G$5)))</f>
        <v/>
      </c>
      <c r="AH16" s="9">
        <f>IF(COUNTA($C16:$AF16)=0,"",SUMPRODUCT(--(UPPER(TRIM(H16:L16))=H$5:L$5)))</f>
        <v/>
      </c>
      <c r="AI16" s="9">
        <f>IF(COUNTA($C16:$AF16)=0,"",SUMPRODUCT(--(UPPER(TRIM(M16:Q16))=M$5:Q$5)))</f>
        <v/>
      </c>
      <c r="AJ16" s="9">
        <f>IF(COUNTA($C16:$AF16)=0,"",SUMPRODUCT(--(UPPER(TRIM(R16:V16))=R$5:V$5)))</f>
        <v/>
      </c>
      <c r="AK16" s="9">
        <f>IF(COUNTA($C16:$AF16)=0,"",SUMPRODUCT(--(UPPER(TRIM(W16:AA16))=W$5:AA$5)))</f>
        <v/>
      </c>
      <c r="AL16" s="9">
        <f>IF(COUNTA($C16:$AF16)=0,"",SUMPRODUCT(--(UPPER(TRIM(AB16:AF16))=AB$5:AF$5)))</f>
        <v/>
      </c>
      <c r="AM16" s="9">
        <f>IF(AG16="","",ROUND((AG16+AH16+AI16)/15*100,0))</f>
        <v/>
      </c>
      <c r="AN16" s="9">
        <f>IF(AG16="","",ROUND((AJ16+AK16+AL16)/15*100,0))</f>
        <v/>
      </c>
      <c r="AO16" s="9">
        <f>IF(AG16="","",SUM(AG16:AL16))</f>
        <v/>
      </c>
      <c r="AP16" s="9">
        <f>IF(AO16="","",ROUND(AO16/30*100,0))</f>
        <v/>
      </c>
      <c r="AQ16" s="9">
        <f>IF(AP16="","",IF(AP16&gt;=Darajalar!$B$2,"Yuqori",IF(AP16&gt;=Darajalar!$B$3,"Yaxshi",IF(AP16&gt;=Darajalar!$B$4,"O‘rta","Boshlang‘ich"))))</f>
        <v/>
      </c>
      <c r="AR16" s="9">
        <f>IF(AP16="","",ROUND(AP16/10,0))</f>
        <v/>
      </c>
      <c r="AS16" s="9">
        <f>IF(AM16="","",IF(AM16&gt;=Darajalar!$B$3,"Mos",IF(AM16&gt;=Darajalar!$B$4,"Qisman mos","Mos emas")))</f>
        <v/>
      </c>
      <c r="AT16" s="9">
        <f>IF(AP16="","",IF(AND(AP16&gt;=75,OR(Amaliy!R16="",Amaliy!R16&gt;=75)),"Ilg‘or",IF(OR(AP16&lt;45,AND(Amaliy!R16&lt;&gt;"",Amaliy!R16&lt;45)),"Yordam","Asosiy")))</f>
        <v/>
      </c>
    </row>
    <row r="17">
      <c r="A17" s="4" t="n">
        <v>12</v>
      </c>
      <c r="B17" s="4">
        <f>IF(Royxat!B13="","",Royxat!B13)</f>
        <v/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9">
        <f>IF(COUNTA($C17:$AF17)=0,"",SUMPRODUCT(--(UPPER(TRIM(C17:G17))=C$5:G$5)))</f>
        <v/>
      </c>
      <c r="AH17" s="9">
        <f>IF(COUNTA($C17:$AF17)=0,"",SUMPRODUCT(--(UPPER(TRIM(H17:L17))=H$5:L$5)))</f>
        <v/>
      </c>
      <c r="AI17" s="9">
        <f>IF(COUNTA($C17:$AF17)=0,"",SUMPRODUCT(--(UPPER(TRIM(M17:Q17))=M$5:Q$5)))</f>
        <v/>
      </c>
      <c r="AJ17" s="9">
        <f>IF(COUNTA($C17:$AF17)=0,"",SUMPRODUCT(--(UPPER(TRIM(R17:V17))=R$5:V$5)))</f>
        <v/>
      </c>
      <c r="AK17" s="9">
        <f>IF(COUNTA($C17:$AF17)=0,"",SUMPRODUCT(--(UPPER(TRIM(W17:AA17))=W$5:AA$5)))</f>
        <v/>
      </c>
      <c r="AL17" s="9">
        <f>IF(COUNTA($C17:$AF17)=0,"",SUMPRODUCT(--(UPPER(TRIM(AB17:AF17))=AB$5:AF$5)))</f>
        <v/>
      </c>
      <c r="AM17" s="9">
        <f>IF(AG17="","",ROUND((AG17+AH17+AI17)/15*100,0))</f>
        <v/>
      </c>
      <c r="AN17" s="9">
        <f>IF(AG17="","",ROUND((AJ17+AK17+AL17)/15*100,0))</f>
        <v/>
      </c>
      <c r="AO17" s="9">
        <f>IF(AG17="","",SUM(AG17:AL17))</f>
        <v/>
      </c>
      <c r="AP17" s="9">
        <f>IF(AO17="","",ROUND(AO17/30*100,0))</f>
        <v/>
      </c>
      <c r="AQ17" s="9">
        <f>IF(AP17="","",IF(AP17&gt;=Darajalar!$B$2,"Yuqori",IF(AP17&gt;=Darajalar!$B$3,"Yaxshi",IF(AP17&gt;=Darajalar!$B$4,"O‘rta","Boshlang‘ich"))))</f>
        <v/>
      </c>
      <c r="AR17" s="9">
        <f>IF(AP17="","",ROUND(AP17/10,0))</f>
        <v/>
      </c>
      <c r="AS17" s="9">
        <f>IF(AM17="","",IF(AM17&gt;=Darajalar!$B$3,"Mos",IF(AM17&gt;=Darajalar!$B$4,"Qisman mos","Mos emas")))</f>
        <v/>
      </c>
      <c r="AT17" s="9">
        <f>IF(AP17="","",IF(AND(AP17&gt;=75,OR(Amaliy!R17="",Amaliy!R17&gt;=75)),"Ilg‘or",IF(OR(AP17&lt;45,AND(Amaliy!R17&lt;&gt;"",Amaliy!R17&lt;45)),"Yordam","Asosiy")))</f>
        <v/>
      </c>
    </row>
    <row r="18">
      <c r="A18" s="4" t="n">
        <v>13</v>
      </c>
      <c r="B18" s="4">
        <f>IF(Royxat!B14="","",Royxat!B14)</f>
        <v/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9">
        <f>IF(COUNTA($C18:$AF18)=0,"",SUMPRODUCT(--(UPPER(TRIM(C18:G18))=C$5:G$5)))</f>
        <v/>
      </c>
      <c r="AH18" s="9">
        <f>IF(COUNTA($C18:$AF18)=0,"",SUMPRODUCT(--(UPPER(TRIM(H18:L18))=H$5:L$5)))</f>
        <v/>
      </c>
      <c r="AI18" s="9">
        <f>IF(COUNTA($C18:$AF18)=0,"",SUMPRODUCT(--(UPPER(TRIM(M18:Q18))=M$5:Q$5)))</f>
        <v/>
      </c>
      <c r="AJ18" s="9">
        <f>IF(COUNTA($C18:$AF18)=0,"",SUMPRODUCT(--(UPPER(TRIM(R18:V18))=R$5:V$5)))</f>
        <v/>
      </c>
      <c r="AK18" s="9">
        <f>IF(COUNTA($C18:$AF18)=0,"",SUMPRODUCT(--(UPPER(TRIM(W18:AA18))=W$5:AA$5)))</f>
        <v/>
      </c>
      <c r="AL18" s="9">
        <f>IF(COUNTA($C18:$AF18)=0,"",SUMPRODUCT(--(UPPER(TRIM(AB18:AF18))=AB$5:AF$5)))</f>
        <v/>
      </c>
      <c r="AM18" s="9">
        <f>IF(AG18="","",ROUND((AG18+AH18+AI18)/15*100,0))</f>
        <v/>
      </c>
      <c r="AN18" s="9">
        <f>IF(AG18="","",ROUND((AJ18+AK18+AL18)/15*100,0))</f>
        <v/>
      </c>
      <c r="AO18" s="9">
        <f>IF(AG18="","",SUM(AG18:AL18))</f>
        <v/>
      </c>
      <c r="AP18" s="9">
        <f>IF(AO18="","",ROUND(AO18/30*100,0))</f>
        <v/>
      </c>
      <c r="AQ18" s="9">
        <f>IF(AP18="","",IF(AP18&gt;=Darajalar!$B$2,"Yuqori",IF(AP18&gt;=Darajalar!$B$3,"Yaxshi",IF(AP18&gt;=Darajalar!$B$4,"O‘rta","Boshlang‘ich"))))</f>
        <v/>
      </c>
      <c r="AR18" s="9">
        <f>IF(AP18="","",ROUND(AP18/10,0))</f>
        <v/>
      </c>
      <c r="AS18" s="9">
        <f>IF(AM18="","",IF(AM18&gt;=Darajalar!$B$3,"Mos",IF(AM18&gt;=Darajalar!$B$4,"Qisman mos","Mos emas")))</f>
        <v/>
      </c>
      <c r="AT18" s="9">
        <f>IF(AP18="","",IF(AND(AP18&gt;=75,OR(Amaliy!R18="",Amaliy!R18&gt;=75)),"Ilg‘or",IF(OR(AP18&lt;45,AND(Amaliy!R18&lt;&gt;"",Amaliy!R18&lt;45)),"Yordam","Asosiy")))</f>
        <v/>
      </c>
    </row>
    <row r="19">
      <c r="A19" s="4" t="n">
        <v>14</v>
      </c>
      <c r="B19" s="4">
        <f>IF(Royxat!B15="","",Royxat!B15)</f>
        <v/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9">
        <f>IF(COUNTA($C19:$AF19)=0,"",SUMPRODUCT(--(UPPER(TRIM(C19:G19))=C$5:G$5)))</f>
        <v/>
      </c>
      <c r="AH19" s="9">
        <f>IF(COUNTA($C19:$AF19)=0,"",SUMPRODUCT(--(UPPER(TRIM(H19:L19))=H$5:L$5)))</f>
        <v/>
      </c>
      <c r="AI19" s="9">
        <f>IF(COUNTA($C19:$AF19)=0,"",SUMPRODUCT(--(UPPER(TRIM(M19:Q19))=M$5:Q$5)))</f>
        <v/>
      </c>
      <c r="AJ19" s="9">
        <f>IF(COUNTA($C19:$AF19)=0,"",SUMPRODUCT(--(UPPER(TRIM(R19:V19))=R$5:V$5)))</f>
        <v/>
      </c>
      <c r="AK19" s="9">
        <f>IF(COUNTA($C19:$AF19)=0,"",SUMPRODUCT(--(UPPER(TRIM(W19:AA19))=W$5:AA$5)))</f>
        <v/>
      </c>
      <c r="AL19" s="9">
        <f>IF(COUNTA($C19:$AF19)=0,"",SUMPRODUCT(--(UPPER(TRIM(AB19:AF19))=AB$5:AF$5)))</f>
        <v/>
      </c>
      <c r="AM19" s="9">
        <f>IF(AG19="","",ROUND((AG19+AH19+AI19)/15*100,0))</f>
        <v/>
      </c>
      <c r="AN19" s="9">
        <f>IF(AG19="","",ROUND((AJ19+AK19+AL19)/15*100,0))</f>
        <v/>
      </c>
      <c r="AO19" s="9">
        <f>IF(AG19="","",SUM(AG19:AL19))</f>
        <v/>
      </c>
      <c r="AP19" s="9">
        <f>IF(AO19="","",ROUND(AO19/30*100,0))</f>
        <v/>
      </c>
      <c r="AQ19" s="9">
        <f>IF(AP19="","",IF(AP19&gt;=Darajalar!$B$2,"Yuqori",IF(AP19&gt;=Darajalar!$B$3,"Yaxshi",IF(AP19&gt;=Darajalar!$B$4,"O‘rta","Boshlang‘ich"))))</f>
        <v/>
      </c>
      <c r="AR19" s="9">
        <f>IF(AP19="","",ROUND(AP19/10,0))</f>
        <v/>
      </c>
      <c r="AS19" s="9">
        <f>IF(AM19="","",IF(AM19&gt;=Darajalar!$B$3,"Mos",IF(AM19&gt;=Darajalar!$B$4,"Qisman mos","Mos emas")))</f>
        <v/>
      </c>
      <c r="AT19" s="9">
        <f>IF(AP19="","",IF(AND(AP19&gt;=75,OR(Amaliy!R19="",Amaliy!R19&gt;=75)),"Ilg‘or",IF(OR(AP19&lt;45,AND(Amaliy!R19&lt;&gt;"",Amaliy!R19&lt;45)),"Yordam","Asosiy")))</f>
        <v/>
      </c>
    </row>
    <row r="20">
      <c r="A20" s="4" t="n">
        <v>15</v>
      </c>
      <c r="B20" s="4">
        <f>IF(Royxat!B16="","",Royxat!B16)</f>
        <v/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9">
        <f>IF(COUNTA($C20:$AF20)=0,"",SUMPRODUCT(--(UPPER(TRIM(C20:G20))=C$5:G$5)))</f>
        <v/>
      </c>
      <c r="AH20" s="9">
        <f>IF(COUNTA($C20:$AF20)=0,"",SUMPRODUCT(--(UPPER(TRIM(H20:L20))=H$5:L$5)))</f>
        <v/>
      </c>
      <c r="AI20" s="9">
        <f>IF(COUNTA($C20:$AF20)=0,"",SUMPRODUCT(--(UPPER(TRIM(M20:Q20))=M$5:Q$5)))</f>
        <v/>
      </c>
      <c r="AJ20" s="9">
        <f>IF(COUNTA($C20:$AF20)=0,"",SUMPRODUCT(--(UPPER(TRIM(R20:V20))=R$5:V$5)))</f>
        <v/>
      </c>
      <c r="AK20" s="9">
        <f>IF(COUNTA($C20:$AF20)=0,"",SUMPRODUCT(--(UPPER(TRIM(W20:AA20))=W$5:AA$5)))</f>
        <v/>
      </c>
      <c r="AL20" s="9">
        <f>IF(COUNTA($C20:$AF20)=0,"",SUMPRODUCT(--(UPPER(TRIM(AB20:AF20))=AB$5:AF$5)))</f>
        <v/>
      </c>
      <c r="AM20" s="9">
        <f>IF(AG20="","",ROUND((AG20+AH20+AI20)/15*100,0))</f>
        <v/>
      </c>
      <c r="AN20" s="9">
        <f>IF(AG20="","",ROUND((AJ20+AK20+AL20)/15*100,0))</f>
        <v/>
      </c>
      <c r="AO20" s="9">
        <f>IF(AG20="","",SUM(AG20:AL20))</f>
        <v/>
      </c>
      <c r="AP20" s="9">
        <f>IF(AO20="","",ROUND(AO20/30*100,0))</f>
        <v/>
      </c>
      <c r="AQ20" s="9">
        <f>IF(AP20="","",IF(AP20&gt;=Darajalar!$B$2,"Yuqori",IF(AP20&gt;=Darajalar!$B$3,"Yaxshi",IF(AP20&gt;=Darajalar!$B$4,"O‘rta","Boshlang‘ich"))))</f>
        <v/>
      </c>
      <c r="AR20" s="9">
        <f>IF(AP20="","",ROUND(AP20/10,0))</f>
        <v/>
      </c>
      <c r="AS20" s="9">
        <f>IF(AM20="","",IF(AM20&gt;=Darajalar!$B$3,"Mos",IF(AM20&gt;=Darajalar!$B$4,"Qisman mos","Mos emas")))</f>
        <v/>
      </c>
      <c r="AT20" s="9">
        <f>IF(AP20="","",IF(AND(AP20&gt;=75,OR(Amaliy!R20="",Amaliy!R20&gt;=75)),"Ilg‘or",IF(OR(AP20&lt;45,AND(Amaliy!R20&lt;&gt;"",Amaliy!R20&lt;45)),"Yordam","Asosiy")))</f>
        <v/>
      </c>
    </row>
    <row r="21">
      <c r="A21" s="4" t="n">
        <v>16</v>
      </c>
      <c r="B21" s="4">
        <f>IF(Royxat!B17="","",Royxat!B17)</f>
        <v/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9">
        <f>IF(COUNTA($C21:$AF21)=0,"",SUMPRODUCT(--(UPPER(TRIM(C21:G21))=C$5:G$5)))</f>
        <v/>
      </c>
      <c r="AH21" s="9">
        <f>IF(COUNTA($C21:$AF21)=0,"",SUMPRODUCT(--(UPPER(TRIM(H21:L21))=H$5:L$5)))</f>
        <v/>
      </c>
      <c r="AI21" s="9">
        <f>IF(COUNTA($C21:$AF21)=0,"",SUMPRODUCT(--(UPPER(TRIM(M21:Q21))=M$5:Q$5)))</f>
        <v/>
      </c>
      <c r="AJ21" s="9">
        <f>IF(COUNTA($C21:$AF21)=0,"",SUMPRODUCT(--(UPPER(TRIM(R21:V21))=R$5:V$5)))</f>
        <v/>
      </c>
      <c r="AK21" s="9">
        <f>IF(COUNTA($C21:$AF21)=0,"",SUMPRODUCT(--(UPPER(TRIM(W21:AA21))=W$5:AA$5)))</f>
        <v/>
      </c>
      <c r="AL21" s="9">
        <f>IF(COUNTA($C21:$AF21)=0,"",SUMPRODUCT(--(UPPER(TRIM(AB21:AF21))=AB$5:AF$5)))</f>
        <v/>
      </c>
      <c r="AM21" s="9">
        <f>IF(AG21="","",ROUND((AG21+AH21+AI21)/15*100,0))</f>
        <v/>
      </c>
      <c r="AN21" s="9">
        <f>IF(AG21="","",ROUND((AJ21+AK21+AL21)/15*100,0))</f>
        <v/>
      </c>
      <c r="AO21" s="9">
        <f>IF(AG21="","",SUM(AG21:AL21))</f>
        <v/>
      </c>
      <c r="AP21" s="9">
        <f>IF(AO21="","",ROUND(AO21/30*100,0))</f>
        <v/>
      </c>
      <c r="AQ21" s="9">
        <f>IF(AP21="","",IF(AP21&gt;=Darajalar!$B$2,"Yuqori",IF(AP21&gt;=Darajalar!$B$3,"Yaxshi",IF(AP21&gt;=Darajalar!$B$4,"O‘rta","Boshlang‘ich"))))</f>
        <v/>
      </c>
      <c r="AR21" s="9">
        <f>IF(AP21="","",ROUND(AP21/10,0))</f>
        <v/>
      </c>
      <c r="AS21" s="9">
        <f>IF(AM21="","",IF(AM21&gt;=Darajalar!$B$3,"Mos",IF(AM21&gt;=Darajalar!$B$4,"Qisman mos","Mos emas")))</f>
        <v/>
      </c>
      <c r="AT21" s="9">
        <f>IF(AP21="","",IF(AND(AP21&gt;=75,OR(Amaliy!R21="",Amaliy!R21&gt;=75)),"Ilg‘or",IF(OR(AP21&lt;45,AND(Amaliy!R21&lt;&gt;"",Amaliy!R21&lt;45)),"Yordam","Asosiy")))</f>
        <v/>
      </c>
    </row>
    <row r="22">
      <c r="A22" s="4" t="n">
        <v>17</v>
      </c>
      <c r="B22" s="4">
        <f>IF(Royxat!B18="","",Royxat!B18)</f>
        <v/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9">
        <f>IF(COUNTA($C22:$AF22)=0,"",SUMPRODUCT(--(UPPER(TRIM(C22:G22))=C$5:G$5)))</f>
        <v/>
      </c>
      <c r="AH22" s="9">
        <f>IF(COUNTA($C22:$AF22)=0,"",SUMPRODUCT(--(UPPER(TRIM(H22:L22))=H$5:L$5)))</f>
        <v/>
      </c>
      <c r="AI22" s="9">
        <f>IF(COUNTA($C22:$AF22)=0,"",SUMPRODUCT(--(UPPER(TRIM(M22:Q22))=M$5:Q$5)))</f>
        <v/>
      </c>
      <c r="AJ22" s="9">
        <f>IF(COUNTA($C22:$AF22)=0,"",SUMPRODUCT(--(UPPER(TRIM(R22:V22))=R$5:V$5)))</f>
        <v/>
      </c>
      <c r="AK22" s="9">
        <f>IF(COUNTA($C22:$AF22)=0,"",SUMPRODUCT(--(UPPER(TRIM(W22:AA22))=W$5:AA$5)))</f>
        <v/>
      </c>
      <c r="AL22" s="9">
        <f>IF(COUNTA($C22:$AF22)=0,"",SUMPRODUCT(--(UPPER(TRIM(AB22:AF22))=AB$5:AF$5)))</f>
        <v/>
      </c>
      <c r="AM22" s="9">
        <f>IF(AG22="","",ROUND((AG22+AH22+AI22)/15*100,0))</f>
        <v/>
      </c>
      <c r="AN22" s="9">
        <f>IF(AG22="","",ROUND((AJ22+AK22+AL22)/15*100,0))</f>
        <v/>
      </c>
      <c r="AO22" s="9">
        <f>IF(AG22="","",SUM(AG22:AL22))</f>
        <v/>
      </c>
      <c r="AP22" s="9">
        <f>IF(AO22="","",ROUND(AO22/30*100,0))</f>
        <v/>
      </c>
      <c r="AQ22" s="9">
        <f>IF(AP22="","",IF(AP22&gt;=Darajalar!$B$2,"Yuqori",IF(AP22&gt;=Darajalar!$B$3,"Yaxshi",IF(AP22&gt;=Darajalar!$B$4,"O‘rta","Boshlang‘ich"))))</f>
        <v/>
      </c>
      <c r="AR22" s="9">
        <f>IF(AP22="","",ROUND(AP22/10,0))</f>
        <v/>
      </c>
      <c r="AS22" s="9">
        <f>IF(AM22="","",IF(AM22&gt;=Darajalar!$B$3,"Mos",IF(AM22&gt;=Darajalar!$B$4,"Qisman mos","Mos emas")))</f>
        <v/>
      </c>
      <c r="AT22" s="9">
        <f>IF(AP22="","",IF(AND(AP22&gt;=75,OR(Amaliy!R22="",Amaliy!R22&gt;=75)),"Ilg‘or",IF(OR(AP22&lt;45,AND(Amaliy!R22&lt;&gt;"",Amaliy!R22&lt;45)),"Yordam","Asosiy")))</f>
        <v/>
      </c>
    </row>
    <row r="23">
      <c r="A23" s="4" t="n">
        <v>18</v>
      </c>
      <c r="B23" s="4">
        <f>IF(Royxat!B19="","",Royxat!B19)</f>
        <v/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9">
        <f>IF(COUNTA($C23:$AF23)=0,"",SUMPRODUCT(--(UPPER(TRIM(C23:G23))=C$5:G$5)))</f>
        <v/>
      </c>
      <c r="AH23" s="9">
        <f>IF(COUNTA($C23:$AF23)=0,"",SUMPRODUCT(--(UPPER(TRIM(H23:L23))=H$5:L$5)))</f>
        <v/>
      </c>
      <c r="AI23" s="9">
        <f>IF(COUNTA($C23:$AF23)=0,"",SUMPRODUCT(--(UPPER(TRIM(M23:Q23))=M$5:Q$5)))</f>
        <v/>
      </c>
      <c r="AJ23" s="9">
        <f>IF(COUNTA($C23:$AF23)=0,"",SUMPRODUCT(--(UPPER(TRIM(R23:V23))=R$5:V$5)))</f>
        <v/>
      </c>
      <c r="AK23" s="9">
        <f>IF(COUNTA($C23:$AF23)=0,"",SUMPRODUCT(--(UPPER(TRIM(W23:AA23))=W$5:AA$5)))</f>
        <v/>
      </c>
      <c r="AL23" s="9">
        <f>IF(COUNTA($C23:$AF23)=0,"",SUMPRODUCT(--(UPPER(TRIM(AB23:AF23))=AB$5:AF$5)))</f>
        <v/>
      </c>
      <c r="AM23" s="9">
        <f>IF(AG23="","",ROUND((AG23+AH23+AI23)/15*100,0))</f>
        <v/>
      </c>
      <c r="AN23" s="9">
        <f>IF(AG23="","",ROUND((AJ23+AK23+AL23)/15*100,0))</f>
        <v/>
      </c>
      <c r="AO23" s="9">
        <f>IF(AG23="","",SUM(AG23:AL23))</f>
        <v/>
      </c>
      <c r="AP23" s="9">
        <f>IF(AO23="","",ROUND(AO23/30*100,0))</f>
        <v/>
      </c>
      <c r="AQ23" s="9">
        <f>IF(AP23="","",IF(AP23&gt;=Darajalar!$B$2,"Yuqori",IF(AP23&gt;=Darajalar!$B$3,"Yaxshi",IF(AP23&gt;=Darajalar!$B$4,"O‘rta","Boshlang‘ich"))))</f>
        <v/>
      </c>
      <c r="AR23" s="9">
        <f>IF(AP23="","",ROUND(AP23/10,0))</f>
        <v/>
      </c>
      <c r="AS23" s="9">
        <f>IF(AM23="","",IF(AM23&gt;=Darajalar!$B$3,"Mos",IF(AM23&gt;=Darajalar!$B$4,"Qisman mos","Mos emas")))</f>
        <v/>
      </c>
      <c r="AT23" s="9">
        <f>IF(AP23="","",IF(AND(AP23&gt;=75,OR(Amaliy!R23="",Amaliy!R23&gt;=75)),"Ilg‘or",IF(OR(AP23&lt;45,AND(Amaliy!R23&lt;&gt;"",Amaliy!R23&lt;45)),"Yordam","Asosiy")))</f>
        <v/>
      </c>
    </row>
    <row r="24">
      <c r="A24" s="4" t="n">
        <v>19</v>
      </c>
      <c r="B24" s="4">
        <f>IF(Royxat!B20="","",Royxat!B20)</f>
        <v/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9">
        <f>IF(COUNTA($C24:$AF24)=0,"",SUMPRODUCT(--(UPPER(TRIM(C24:G24))=C$5:G$5)))</f>
        <v/>
      </c>
      <c r="AH24" s="9">
        <f>IF(COUNTA($C24:$AF24)=0,"",SUMPRODUCT(--(UPPER(TRIM(H24:L24))=H$5:L$5)))</f>
        <v/>
      </c>
      <c r="AI24" s="9">
        <f>IF(COUNTA($C24:$AF24)=0,"",SUMPRODUCT(--(UPPER(TRIM(M24:Q24))=M$5:Q$5)))</f>
        <v/>
      </c>
      <c r="AJ24" s="9">
        <f>IF(COUNTA($C24:$AF24)=0,"",SUMPRODUCT(--(UPPER(TRIM(R24:V24))=R$5:V$5)))</f>
        <v/>
      </c>
      <c r="AK24" s="9">
        <f>IF(COUNTA($C24:$AF24)=0,"",SUMPRODUCT(--(UPPER(TRIM(W24:AA24))=W$5:AA$5)))</f>
        <v/>
      </c>
      <c r="AL24" s="9">
        <f>IF(COUNTA($C24:$AF24)=0,"",SUMPRODUCT(--(UPPER(TRIM(AB24:AF24))=AB$5:AF$5)))</f>
        <v/>
      </c>
      <c r="AM24" s="9">
        <f>IF(AG24="","",ROUND((AG24+AH24+AI24)/15*100,0))</f>
        <v/>
      </c>
      <c r="AN24" s="9">
        <f>IF(AG24="","",ROUND((AJ24+AK24+AL24)/15*100,0))</f>
        <v/>
      </c>
      <c r="AO24" s="9">
        <f>IF(AG24="","",SUM(AG24:AL24))</f>
        <v/>
      </c>
      <c r="AP24" s="9">
        <f>IF(AO24="","",ROUND(AO24/30*100,0))</f>
        <v/>
      </c>
      <c r="AQ24" s="9">
        <f>IF(AP24="","",IF(AP24&gt;=Darajalar!$B$2,"Yuqori",IF(AP24&gt;=Darajalar!$B$3,"Yaxshi",IF(AP24&gt;=Darajalar!$B$4,"O‘rta","Boshlang‘ich"))))</f>
        <v/>
      </c>
      <c r="AR24" s="9">
        <f>IF(AP24="","",ROUND(AP24/10,0))</f>
        <v/>
      </c>
      <c r="AS24" s="9">
        <f>IF(AM24="","",IF(AM24&gt;=Darajalar!$B$3,"Mos",IF(AM24&gt;=Darajalar!$B$4,"Qisman mos","Mos emas")))</f>
        <v/>
      </c>
      <c r="AT24" s="9">
        <f>IF(AP24="","",IF(AND(AP24&gt;=75,OR(Amaliy!R24="",Amaliy!R24&gt;=75)),"Ilg‘or",IF(OR(AP24&lt;45,AND(Amaliy!R24&lt;&gt;"",Amaliy!R24&lt;45)),"Yordam","Asosiy")))</f>
        <v/>
      </c>
    </row>
    <row r="25">
      <c r="A25" s="4" t="n">
        <v>20</v>
      </c>
      <c r="B25" s="4">
        <f>IF(Royxat!B21="","",Royxat!B21)</f>
        <v/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9">
        <f>IF(COUNTA($C25:$AF25)=0,"",SUMPRODUCT(--(UPPER(TRIM(C25:G25))=C$5:G$5)))</f>
        <v/>
      </c>
      <c r="AH25" s="9">
        <f>IF(COUNTA($C25:$AF25)=0,"",SUMPRODUCT(--(UPPER(TRIM(H25:L25))=H$5:L$5)))</f>
        <v/>
      </c>
      <c r="AI25" s="9">
        <f>IF(COUNTA($C25:$AF25)=0,"",SUMPRODUCT(--(UPPER(TRIM(M25:Q25))=M$5:Q$5)))</f>
        <v/>
      </c>
      <c r="AJ25" s="9">
        <f>IF(COUNTA($C25:$AF25)=0,"",SUMPRODUCT(--(UPPER(TRIM(R25:V25))=R$5:V$5)))</f>
        <v/>
      </c>
      <c r="AK25" s="9">
        <f>IF(COUNTA($C25:$AF25)=0,"",SUMPRODUCT(--(UPPER(TRIM(W25:AA25))=W$5:AA$5)))</f>
        <v/>
      </c>
      <c r="AL25" s="9">
        <f>IF(COUNTA($C25:$AF25)=0,"",SUMPRODUCT(--(UPPER(TRIM(AB25:AF25))=AB$5:AF$5)))</f>
        <v/>
      </c>
      <c r="AM25" s="9">
        <f>IF(AG25="","",ROUND((AG25+AH25+AI25)/15*100,0))</f>
        <v/>
      </c>
      <c r="AN25" s="9">
        <f>IF(AG25="","",ROUND((AJ25+AK25+AL25)/15*100,0))</f>
        <v/>
      </c>
      <c r="AO25" s="9">
        <f>IF(AG25="","",SUM(AG25:AL25))</f>
        <v/>
      </c>
      <c r="AP25" s="9">
        <f>IF(AO25="","",ROUND(AO25/30*100,0))</f>
        <v/>
      </c>
      <c r="AQ25" s="9">
        <f>IF(AP25="","",IF(AP25&gt;=Darajalar!$B$2,"Yuqori",IF(AP25&gt;=Darajalar!$B$3,"Yaxshi",IF(AP25&gt;=Darajalar!$B$4,"O‘rta","Boshlang‘ich"))))</f>
        <v/>
      </c>
      <c r="AR25" s="9">
        <f>IF(AP25="","",ROUND(AP25/10,0))</f>
        <v/>
      </c>
      <c r="AS25" s="9">
        <f>IF(AM25="","",IF(AM25&gt;=Darajalar!$B$3,"Mos",IF(AM25&gt;=Darajalar!$B$4,"Qisman mos","Mos emas")))</f>
        <v/>
      </c>
      <c r="AT25" s="9">
        <f>IF(AP25="","",IF(AND(AP25&gt;=75,OR(Amaliy!R25="",Amaliy!R25&gt;=75)),"Ilg‘or",IF(OR(AP25&lt;45,AND(Amaliy!R25&lt;&gt;"",Amaliy!R25&lt;45)),"Yordam","Asosiy")))</f>
        <v/>
      </c>
    </row>
    <row r="26">
      <c r="A26" s="4" t="n">
        <v>21</v>
      </c>
      <c r="B26" s="4">
        <f>IF(Royxat!B22="","",Royxat!B22)</f>
        <v/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9">
        <f>IF(COUNTA($C26:$AF26)=0,"",SUMPRODUCT(--(UPPER(TRIM(C26:G26))=C$5:G$5)))</f>
        <v/>
      </c>
      <c r="AH26" s="9">
        <f>IF(COUNTA($C26:$AF26)=0,"",SUMPRODUCT(--(UPPER(TRIM(H26:L26))=H$5:L$5)))</f>
        <v/>
      </c>
      <c r="AI26" s="9">
        <f>IF(COUNTA($C26:$AF26)=0,"",SUMPRODUCT(--(UPPER(TRIM(M26:Q26))=M$5:Q$5)))</f>
        <v/>
      </c>
      <c r="AJ26" s="9">
        <f>IF(COUNTA($C26:$AF26)=0,"",SUMPRODUCT(--(UPPER(TRIM(R26:V26))=R$5:V$5)))</f>
        <v/>
      </c>
      <c r="AK26" s="9">
        <f>IF(COUNTA($C26:$AF26)=0,"",SUMPRODUCT(--(UPPER(TRIM(W26:AA26))=W$5:AA$5)))</f>
        <v/>
      </c>
      <c r="AL26" s="9">
        <f>IF(COUNTA($C26:$AF26)=0,"",SUMPRODUCT(--(UPPER(TRIM(AB26:AF26))=AB$5:AF$5)))</f>
        <v/>
      </c>
      <c r="AM26" s="9">
        <f>IF(AG26="","",ROUND((AG26+AH26+AI26)/15*100,0))</f>
        <v/>
      </c>
      <c r="AN26" s="9">
        <f>IF(AG26="","",ROUND((AJ26+AK26+AL26)/15*100,0))</f>
        <v/>
      </c>
      <c r="AO26" s="9">
        <f>IF(AG26="","",SUM(AG26:AL26))</f>
        <v/>
      </c>
      <c r="AP26" s="9">
        <f>IF(AO26="","",ROUND(AO26/30*100,0))</f>
        <v/>
      </c>
      <c r="AQ26" s="9">
        <f>IF(AP26="","",IF(AP26&gt;=Darajalar!$B$2,"Yuqori",IF(AP26&gt;=Darajalar!$B$3,"Yaxshi",IF(AP26&gt;=Darajalar!$B$4,"O‘rta","Boshlang‘ich"))))</f>
        <v/>
      </c>
      <c r="AR26" s="9">
        <f>IF(AP26="","",ROUND(AP26/10,0))</f>
        <v/>
      </c>
      <c r="AS26" s="9">
        <f>IF(AM26="","",IF(AM26&gt;=Darajalar!$B$3,"Mos",IF(AM26&gt;=Darajalar!$B$4,"Qisman mos","Mos emas")))</f>
        <v/>
      </c>
      <c r="AT26" s="9">
        <f>IF(AP26="","",IF(AND(AP26&gt;=75,OR(Amaliy!R26="",Amaliy!R26&gt;=75)),"Ilg‘or",IF(OR(AP26&lt;45,AND(Amaliy!R26&lt;&gt;"",Amaliy!R26&lt;45)),"Yordam","Asosiy")))</f>
        <v/>
      </c>
    </row>
    <row r="27">
      <c r="A27" s="4" t="n">
        <v>22</v>
      </c>
      <c r="B27" s="4">
        <f>IF(Royxat!B23="","",Royxat!B23)</f>
        <v/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9">
        <f>IF(COUNTA($C27:$AF27)=0,"",SUMPRODUCT(--(UPPER(TRIM(C27:G27))=C$5:G$5)))</f>
        <v/>
      </c>
      <c r="AH27" s="9">
        <f>IF(COUNTA($C27:$AF27)=0,"",SUMPRODUCT(--(UPPER(TRIM(H27:L27))=H$5:L$5)))</f>
        <v/>
      </c>
      <c r="AI27" s="9">
        <f>IF(COUNTA($C27:$AF27)=0,"",SUMPRODUCT(--(UPPER(TRIM(M27:Q27))=M$5:Q$5)))</f>
        <v/>
      </c>
      <c r="AJ27" s="9">
        <f>IF(COUNTA($C27:$AF27)=0,"",SUMPRODUCT(--(UPPER(TRIM(R27:V27))=R$5:V$5)))</f>
        <v/>
      </c>
      <c r="AK27" s="9">
        <f>IF(COUNTA($C27:$AF27)=0,"",SUMPRODUCT(--(UPPER(TRIM(W27:AA27))=W$5:AA$5)))</f>
        <v/>
      </c>
      <c r="AL27" s="9">
        <f>IF(COUNTA($C27:$AF27)=0,"",SUMPRODUCT(--(UPPER(TRIM(AB27:AF27))=AB$5:AF$5)))</f>
        <v/>
      </c>
      <c r="AM27" s="9">
        <f>IF(AG27="","",ROUND((AG27+AH27+AI27)/15*100,0))</f>
        <v/>
      </c>
      <c r="AN27" s="9">
        <f>IF(AG27="","",ROUND((AJ27+AK27+AL27)/15*100,0))</f>
        <v/>
      </c>
      <c r="AO27" s="9">
        <f>IF(AG27="","",SUM(AG27:AL27))</f>
        <v/>
      </c>
      <c r="AP27" s="9">
        <f>IF(AO27="","",ROUND(AO27/30*100,0))</f>
        <v/>
      </c>
      <c r="AQ27" s="9">
        <f>IF(AP27="","",IF(AP27&gt;=Darajalar!$B$2,"Yuqori",IF(AP27&gt;=Darajalar!$B$3,"Yaxshi",IF(AP27&gt;=Darajalar!$B$4,"O‘rta","Boshlang‘ich"))))</f>
        <v/>
      </c>
      <c r="AR27" s="9">
        <f>IF(AP27="","",ROUND(AP27/10,0))</f>
        <v/>
      </c>
      <c r="AS27" s="9">
        <f>IF(AM27="","",IF(AM27&gt;=Darajalar!$B$3,"Mos",IF(AM27&gt;=Darajalar!$B$4,"Qisman mos","Mos emas")))</f>
        <v/>
      </c>
      <c r="AT27" s="9">
        <f>IF(AP27="","",IF(AND(AP27&gt;=75,OR(Amaliy!R27="",Amaliy!R27&gt;=75)),"Ilg‘or",IF(OR(AP27&lt;45,AND(Amaliy!R27&lt;&gt;"",Amaliy!R27&lt;45)),"Yordam","Asosiy")))</f>
        <v/>
      </c>
    </row>
    <row r="28">
      <c r="A28" s="4" t="n">
        <v>23</v>
      </c>
      <c r="B28" s="4">
        <f>IF(Royxat!B24="","",Royxat!B24)</f>
        <v/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9">
        <f>IF(COUNTA($C28:$AF28)=0,"",SUMPRODUCT(--(UPPER(TRIM(C28:G28))=C$5:G$5)))</f>
        <v/>
      </c>
      <c r="AH28" s="9">
        <f>IF(COUNTA($C28:$AF28)=0,"",SUMPRODUCT(--(UPPER(TRIM(H28:L28))=H$5:L$5)))</f>
        <v/>
      </c>
      <c r="AI28" s="9">
        <f>IF(COUNTA($C28:$AF28)=0,"",SUMPRODUCT(--(UPPER(TRIM(M28:Q28))=M$5:Q$5)))</f>
        <v/>
      </c>
      <c r="AJ28" s="9">
        <f>IF(COUNTA($C28:$AF28)=0,"",SUMPRODUCT(--(UPPER(TRIM(R28:V28))=R$5:V$5)))</f>
        <v/>
      </c>
      <c r="AK28" s="9">
        <f>IF(COUNTA($C28:$AF28)=0,"",SUMPRODUCT(--(UPPER(TRIM(W28:AA28))=W$5:AA$5)))</f>
        <v/>
      </c>
      <c r="AL28" s="9">
        <f>IF(COUNTA($C28:$AF28)=0,"",SUMPRODUCT(--(UPPER(TRIM(AB28:AF28))=AB$5:AF$5)))</f>
        <v/>
      </c>
      <c r="AM28" s="9">
        <f>IF(AG28="","",ROUND((AG28+AH28+AI28)/15*100,0))</f>
        <v/>
      </c>
      <c r="AN28" s="9">
        <f>IF(AG28="","",ROUND((AJ28+AK28+AL28)/15*100,0))</f>
        <v/>
      </c>
      <c r="AO28" s="9">
        <f>IF(AG28="","",SUM(AG28:AL28))</f>
        <v/>
      </c>
      <c r="AP28" s="9">
        <f>IF(AO28="","",ROUND(AO28/30*100,0))</f>
        <v/>
      </c>
      <c r="AQ28" s="9">
        <f>IF(AP28="","",IF(AP28&gt;=Darajalar!$B$2,"Yuqori",IF(AP28&gt;=Darajalar!$B$3,"Yaxshi",IF(AP28&gt;=Darajalar!$B$4,"O‘rta","Boshlang‘ich"))))</f>
        <v/>
      </c>
      <c r="AR28" s="9">
        <f>IF(AP28="","",ROUND(AP28/10,0))</f>
        <v/>
      </c>
      <c r="AS28" s="9">
        <f>IF(AM28="","",IF(AM28&gt;=Darajalar!$B$3,"Mos",IF(AM28&gt;=Darajalar!$B$4,"Qisman mos","Mos emas")))</f>
        <v/>
      </c>
      <c r="AT28" s="9">
        <f>IF(AP28="","",IF(AND(AP28&gt;=75,OR(Amaliy!R28="",Amaliy!R28&gt;=75)),"Ilg‘or",IF(OR(AP28&lt;45,AND(Amaliy!R28&lt;&gt;"",Amaliy!R28&lt;45)),"Yordam","Asosiy")))</f>
        <v/>
      </c>
    </row>
    <row r="29">
      <c r="A29" s="4" t="n">
        <v>24</v>
      </c>
      <c r="B29" s="4">
        <f>IF(Royxat!B25="","",Royxat!B25)</f>
        <v/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9">
        <f>IF(COUNTA($C29:$AF29)=0,"",SUMPRODUCT(--(UPPER(TRIM(C29:G29))=C$5:G$5)))</f>
        <v/>
      </c>
      <c r="AH29" s="9">
        <f>IF(COUNTA($C29:$AF29)=0,"",SUMPRODUCT(--(UPPER(TRIM(H29:L29))=H$5:L$5)))</f>
        <v/>
      </c>
      <c r="AI29" s="9">
        <f>IF(COUNTA($C29:$AF29)=0,"",SUMPRODUCT(--(UPPER(TRIM(M29:Q29))=M$5:Q$5)))</f>
        <v/>
      </c>
      <c r="AJ29" s="9">
        <f>IF(COUNTA($C29:$AF29)=0,"",SUMPRODUCT(--(UPPER(TRIM(R29:V29))=R$5:V$5)))</f>
        <v/>
      </c>
      <c r="AK29" s="9">
        <f>IF(COUNTA($C29:$AF29)=0,"",SUMPRODUCT(--(UPPER(TRIM(W29:AA29))=W$5:AA$5)))</f>
        <v/>
      </c>
      <c r="AL29" s="9">
        <f>IF(COUNTA($C29:$AF29)=0,"",SUMPRODUCT(--(UPPER(TRIM(AB29:AF29))=AB$5:AF$5)))</f>
        <v/>
      </c>
      <c r="AM29" s="9">
        <f>IF(AG29="","",ROUND((AG29+AH29+AI29)/15*100,0))</f>
        <v/>
      </c>
      <c r="AN29" s="9">
        <f>IF(AG29="","",ROUND((AJ29+AK29+AL29)/15*100,0))</f>
        <v/>
      </c>
      <c r="AO29" s="9">
        <f>IF(AG29="","",SUM(AG29:AL29))</f>
        <v/>
      </c>
      <c r="AP29" s="9">
        <f>IF(AO29="","",ROUND(AO29/30*100,0))</f>
        <v/>
      </c>
      <c r="AQ29" s="9">
        <f>IF(AP29="","",IF(AP29&gt;=Darajalar!$B$2,"Yuqori",IF(AP29&gt;=Darajalar!$B$3,"Yaxshi",IF(AP29&gt;=Darajalar!$B$4,"O‘rta","Boshlang‘ich"))))</f>
        <v/>
      </c>
      <c r="AR29" s="9">
        <f>IF(AP29="","",ROUND(AP29/10,0))</f>
        <v/>
      </c>
      <c r="AS29" s="9">
        <f>IF(AM29="","",IF(AM29&gt;=Darajalar!$B$3,"Mos",IF(AM29&gt;=Darajalar!$B$4,"Qisman mos","Mos emas")))</f>
        <v/>
      </c>
      <c r="AT29" s="9">
        <f>IF(AP29="","",IF(AND(AP29&gt;=75,OR(Amaliy!R29="",Amaliy!R29&gt;=75)),"Ilg‘or",IF(OR(AP29&lt;45,AND(Amaliy!R29&lt;&gt;"",Amaliy!R29&lt;45)),"Yordam","Asosiy")))</f>
        <v/>
      </c>
    </row>
    <row r="30">
      <c r="A30" s="4" t="n">
        <v>25</v>
      </c>
      <c r="B30" s="4">
        <f>IF(Royxat!B26="","",Royxat!B26)</f>
        <v/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9">
        <f>IF(COUNTA($C30:$AF30)=0,"",SUMPRODUCT(--(UPPER(TRIM(C30:G30))=C$5:G$5)))</f>
        <v/>
      </c>
      <c r="AH30" s="9">
        <f>IF(COUNTA($C30:$AF30)=0,"",SUMPRODUCT(--(UPPER(TRIM(H30:L30))=H$5:L$5)))</f>
        <v/>
      </c>
      <c r="AI30" s="9">
        <f>IF(COUNTA($C30:$AF30)=0,"",SUMPRODUCT(--(UPPER(TRIM(M30:Q30))=M$5:Q$5)))</f>
        <v/>
      </c>
      <c r="AJ30" s="9">
        <f>IF(COUNTA($C30:$AF30)=0,"",SUMPRODUCT(--(UPPER(TRIM(R30:V30))=R$5:V$5)))</f>
        <v/>
      </c>
      <c r="AK30" s="9">
        <f>IF(COUNTA($C30:$AF30)=0,"",SUMPRODUCT(--(UPPER(TRIM(W30:AA30))=W$5:AA$5)))</f>
        <v/>
      </c>
      <c r="AL30" s="9">
        <f>IF(COUNTA($C30:$AF30)=0,"",SUMPRODUCT(--(UPPER(TRIM(AB30:AF30))=AB$5:AF$5)))</f>
        <v/>
      </c>
      <c r="AM30" s="9">
        <f>IF(AG30="","",ROUND((AG30+AH30+AI30)/15*100,0))</f>
        <v/>
      </c>
      <c r="AN30" s="9">
        <f>IF(AG30="","",ROUND((AJ30+AK30+AL30)/15*100,0))</f>
        <v/>
      </c>
      <c r="AO30" s="9">
        <f>IF(AG30="","",SUM(AG30:AL30))</f>
        <v/>
      </c>
      <c r="AP30" s="9">
        <f>IF(AO30="","",ROUND(AO30/30*100,0))</f>
        <v/>
      </c>
      <c r="AQ30" s="9">
        <f>IF(AP30="","",IF(AP30&gt;=Darajalar!$B$2,"Yuqori",IF(AP30&gt;=Darajalar!$B$3,"Yaxshi",IF(AP30&gt;=Darajalar!$B$4,"O‘rta","Boshlang‘ich"))))</f>
        <v/>
      </c>
      <c r="AR30" s="9">
        <f>IF(AP30="","",ROUND(AP30/10,0))</f>
        <v/>
      </c>
      <c r="AS30" s="9">
        <f>IF(AM30="","",IF(AM30&gt;=Darajalar!$B$3,"Mos",IF(AM30&gt;=Darajalar!$B$4,"Qisman mos","Mos emas")))</f>
        <v/>
      </c>
      <c r="AT30" s="9">
        <f>IF(AP30="","",IF(AND(AP30&gt;=75,OR(Amaliy!R30="",Amaliy!R30&gt;=75)),"Ilg‘or",IF(OR(AP30&lt;45,AND(Amaliy!R30&lt;&gt;"",Amaliy!R30&lt;45)),"Yordam","Asosiy")))</f>
        <v/>
      </c>
    </row>
    <row r="31">
      <c r="A31" s="4" t="n">
        <v>26</v>
      </c>
      <c r="B31" s="4">
        <f>IF(Royxat!B27="","",Royxat!B27)</f>
        <v/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9">
        <f>IF(COUNTA($C31:$AF31)=0,"",SUMPRODUCT(--(UPPER(TRIM(C31:G31))=C$5:G$5)))</f>
        <v/>
      </c>
      <c r="AH31" s="9">
        <f>IF(COUNTA($C31:$AF31)=0,"",SUMPRODUCT(--(UPPER(TRIM(H31:L31))=H$5:L$5)))</f>
        <v/>
      </c>
      <c r="AI31" s="9">
        <f>IF(COUNTA($C31:$AF31)=0,"",SUMPRODUCT(--(UPPER(TRIM(M31:Q31))=M$5:Q$5)))</f>
        <v/>
      </c>
      <c r="AJ31" s="9">
        <f>IF(COUNTA($C31:$AF31)=0,"",SUMPRODUCT(--(UPPER(TRIM(R31:V31))=R$5:V$5)))</f>
        <v/>
      </c>
      <c r="AK31" s="9">
        <f>IF(COUNTA($C31:$AF31)=0,"",SUMPRODUCT(--(UPPER(TRIM(W31:AA31))=W$5:AA$5)))</f>
        <v/>
      </c>
      <c r="AL31" s="9">
        <f>IF(COUNTA($C31:$AF31)=0,"",SUMPRODUCT(--(UPPER(TRIM(AB31:AF31))=AB$5:AF$5)))</f>
        <v/>
      </c>
      <c r="AM31" s="9">
        <f>IF(AG31="","",ROUND((AG31+AH31+AI31)/15*100,0))</f>
        <v/>
      </c>
      <c r="AN31" s="9">
        <f>IF(AG31="","",ROUND((AJ31+AK31+AL31)/15*100,0))</f>
        <v/>
      </c>
      <c r="AO31" s="9">
        <f>IF(AG31="","",SUM(AG31:AL31))</f>
        <v/>
      </c>
      <c r="AP31" s="9">
        <f>IF(AO31="","",ROUND(AO31/30*100,0))</f>
        <v/>
      </c>
      <c r="AQ31" s="9">
        <f>IF(AP31="","",IF(AP31&gt;=Darajalar!$B$2,"Yuqori",IF(AP31&gt;=Darajalar!$B$3,"Yaxshi",IF(AP31&gt;=Darajalar!$B$4,"O‘rta","Boshlang‘ich"))))</f>
        <v/>
      </c>
      <c r="AR31" s="9">
        <f>IF(AP31="","",ROUND(AP31/10,0))</f>
        <v/>
      </c>
      <c r="AS31" s="9">
        <f>IF(AM31="","",IF(AM31&gt;=Darajalar!$B$3,"Mos",IF(AM31&gt;=Darajalar!$B$4,"Qisman mos","Mos emas")))</f>
        <v/>
      </c>
      <c r="AT31" s="9">
        <f>IF(AP31="","",IF(AND(AP31&gt;=75,OR(Amaliy!R31="",Amaliy!R31&gt;=75)),"Ilg‘or",IF(OR(AP31&lt;45,AND(Amaliy!R31&lt;&gt;"",Amaliy!R31&lt;45)),"Yordam","Asosiy")))</f>
        <v/>
      </c>
    </row>
    <row r="32">
      <c r="A32" s="4" t="n">
        <v>27</v>
      </c>
      <c r="B32" s="4">
        <f>IF(Royxat!B28="","",Royxat!B28)</f>
        <v/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9">
        <f>IF(COUNTA($C32:$AF32)=0,"",SUMPRODUCT(--(UPPER(TRIM(C32:G32))=C$5:G$5)))</f>
        <v/>
      </c>
      <c r="AH32" s="9">
        <f>IF(COUNTA($C32:$AF32)=0,"",SUMPRODUCT(--(UPPER(TRIM(H32:L32))=H$5:L$5)))</f>
        <v/>
      </c>
      <c r="AI32" s="9">
        <f>IF(COUNTA($C32:$AF32)=0,"",SUMPRODUCT(--(UPPER(TRIM(M32:Q32))=M$5:Q$5)))</f>
        <v/>
      </c>
      <c r="AJ32" s="9">
        <f>IF(COUNTA($C32:$AF32)=0,"",SUMPRODUCT(--(UPPER(TRIM(R32:V32))=R$5:V$5)))</f>
        <v/>
      </c>
      <c r="AK32" s="9">
        <f>IF(COUNTA($C32:$AF32)=0,"",SUMPRODUCT(--(UPPER(TRIM(W32:AA32))=W$5:AA$5)))</f>
        <v/>
      </c>
      <c r="AL32" s="9">
        <f>IF(COUNTA($C32:$AF32)=0,"",SUMPRODUCT(--(UPPER(TRIM(AB32:AF32))=AB$5:AF$5)))</f>
        <v/>
      </c>
      <c r="AM32" s="9">
        <f>IF(AG32="","",ROUND((AG32+AH32+AI32)/15*100,0))</f>
        <v/>
      </c>
      <c r="AN32" s="9">
        <f>IF(AG32="","",ROUND((AJ32+AK32+AL32)/15*100,0))</f>
        <v/>
      </c>
      <c r="AO32" s="9">
        <f>IF(AG32="","",SUM(AG32:AL32))</f>
        <v/>
      </c>
      <c r="AP32" s="9">
        <f>IF(AO32="","",ROUND(AO32/30*100,0))</f>
        <v/>
      </c>
      <c r="AQ32" s="9">
        <f>IF(AP32="","",IF(AP32&gt;=Darajalar!$B$2,"Yuqori",IF(AP32&gt;=Darajalar!$B$3,"Yaxshi",IF(AP32&gt;=Darajalar!$B$4,"O‘rta","Boshlang‘ich"))))</f>
        <v/>
      </c>
      <c r="AR32" s="9">
        <f>IF(AP32="","",ROUND(AP32/10,0))</f>
        <v/>
      </c>
      <c r="AS32" s="9">
        <f>IF(AM32="","",IF(AM32&gt;=Darajalar!$B$3,"Mos",IF(AM32&gt;=Darajalar!$B$4,"Qisman mos","Mos emas")))</f>
        <v/>
      </c>
      <c r="AT32" s="9">
        <f>IF(AP32="","",IF(AND(AP32&gt;=75,OR(Amaliy!R32="",Amaliy!R32&gt;=75)),"Ilg‘or",IF(OR(AP32&lt;45,AND(Amaliy!R32&lt;&gt;"",Amaliy!R32&lt;45)),"Yordam","Asosiy")))</f>
        <v/>
      </c>
    </row>
    <row r="33">
      <c r="A33" s="4" t="n">
        <v>28</v>
      </c>
      <c r="B33" s="4">
        <f>IF(Royxat!B29="","",Royxat!B29)</f>
        <v/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9">
        <f>IF(COUNTA($C33:$AF33)=0,"",SUMPRODUCT(--(UPPER(TRIM(C33:G33))=C$5:G$5)))</f>
        <v/>
      </c>
      <c r="AH33" s="9">
        <f>IF(COUNTA($C33:$AF33)=0,"",SUMPRODUCT(--(UPPER(TRIM(H33:L33))=H$5:L$5)))</f>
        <v/>
      </c>
      <c r="AI33" s="9">
        <f>IF(COUNTA($C33:$AF33)=0,"",SUMPRODUCT(--(UPPER(TRIM(M33:Q33))=M$5:Q$5)))</f>
        <v/>
      </c>
      <c r="AJ33" s="9">
        <f>IF(COUNTA($C33:$AF33)=0,"",SUMPRODUCT(--(UPPER(TRIM(R33:V33))=R$5:V$5)))</f>
        <v/>
      </c>
      <c r="AK33" s="9">
        <f>IF(COUNTA($C33:$AF33)=0,"",SUMPRODUCT(--(UPPER(TRIM(W33:AA33))=W$5:AA$5)))</f>
        <v/>
      </c>
      <c r="AL33" s="9">
        <f>IF(COUNTA($C33:$AF33)=0,"",SUMPRODUCT(--(UPPER(TRIM(AB33:AF33))=AB$5:AF$5)))</f>
        <v/>
      </c>
      <c r="AM33" s="9">
        <f>IF(AG33="","",ROUND((AG33+AH33+AI33)/15*100,0))</f>
        <v/>
      </c>
      <c r="AN33" s="9">
        <f>IF(AG33="","",ROUND((AJ33+AK33+AL33)/15*100,0))</f>
        <v/>
      </c>
      <c r="AO33" s="9">
        <f>IF(AG33="","",SUM(AG33:AL33))</f>
        <v/>
      </c>
      <c r="AP33" s="9">
        <f>IF(AO33="","",ROUND(AO33/30*100,0))</f>
        <v/>
      </c>
      <c r="AQ33" s="9">
        <f>IF(AP33="","",IF(AP33&gt;=Darajalar!$B$2,"Yuqori",IF(AP33&gt;=Darajalar!$B$3,"Yaxshi",IF(AP33&gt;=Darajalar!$B$4,"O‘rta","Boshlang‘ich"))))</f>
        <v/>
      </c>
      <c r="AR33" s="9">
        <f>IF(AP33="","",ROUND(AP33/10,0))</f>
        <v/>
      </c>
      <c r="AS33" s="9">
        <f>IF(AM33="","",IF(AM33&gt;=Darajalar!$B$3,"Mos",IF(AM33&gt;=Darajalar!$B$4,"Qisman mos","Mos emas")))</f>
        <v/>
      </c>
      <c r="AT33" s="9">
        <f>IF(AP33="","",IF(AND(AP33&gt;=75,OR(Amaliy!R33="",Amaliy!R33&gt;=75)),"Ilg‘or",IF(OR(AP33&lt;45,AND(Amaliy!R33&lt;&gt;"",Amaliy!R33&lt;45)),"Yordam","Asosiy")))</f>
        <v/>
      </c>
    </row>
    <row r="34">
      <c r="A34" s="4" t="n">
        <v>29</v>
      </c>
      <c r="B34" s="4">
        <f>IF(Royxat!B30="","",Royxat!B30)</f>
        <v/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9">
        <f>IF(COUNTA($C34:$AF34)=0,"",SUMPRODUCT(--(UPPER(TRIM(C34:G34))=C$5:G$5)))</f>
        <v/>
      </c>
      <c r="AH34" s="9">
        <f>IF(COUNTA($C34:$AF34)=0,"",SUMPRODUCT(--(UPPER(TRIM(H34:L34))=H$5:L$5)))</f>
        <v/>
      </c>
      <c r="AI34" s="9">
        <f>IF(COUNTA($C34:$AF34)=0,"",SUMPRODUCT(--(UPPER(TRIM(M34:Q34))=M$5:Q$5)))</f>
        <v/>
      </c>
      <c r="AJ34" s="9">
        <f>IF(COUNTA($C34:$AF34)=0,"",SUMPRODUCT(--(UPPER(TRIM(R34:V34))=R$5:V$5)))</f>
        <v/>
      </c>
      <c r="AK34" s="9">
        <f>IF(COUNTA($C34:$AF34)=0,"",SUMPRODUCT(--(UPPER(TRIM(W34:AA34))=W$5:AA$5)))</f>
        <v/>
      </c>
      <c r="AL34" s="9">
        <f>IF(COUNTA($C34:$AF34)=0,"",SUMPRODUCT(--(UPPER(TRIM(AB34:AF34))=AB$5:AF$5)))</f>
        <v/>
      </c>
      <c r="AM34" s="9">
        <f>IF(AG34="","",ROUND((AG34+AH34+AI34)/15*100,0))</f>
        <v/>
      </c>
      <c r="AN34" s="9">
        <f>IF(AG34="","",ROUND((AJ34+AK34+AL34)/15*100,0))</f>
        <v/>
      </c>
      <c r="AO34" s="9">
        <f>IF(AG34="","",SUM(AG34:AL34))</f>
        <v/>
      </c>
      <c r="AP34" s="9">
        <f>IF(AO34="","",ROUND(AO34/30*100,0))</f>
        <v/>
      </c>
      <c r="AQ34" s="9">
        <f>IF(AP34="","",IF(AP34&gt;=Darajalar!$B$2,"Yuqori",IF(AP34&gt;=Darajalar!$B$3,"Yaxshi",IF(AP34&gt;=Darajalar!$B$4,"O‘rta","Boshlang‘ich"))))</f>
        <v/>
      </c>
      <c r="AR34" s="9">
        <f>IF(AP34="","",ROUND(AP34/10,0))</f>
        <v/>
      </c>
      <c r="AS34" s="9">
        <f>IF(AM34="","",IF(AM34&gt;=Darajalar!$B$3,"Mos",IF(AM34&gt;=Darajalar!$B$4,"Qisman mos","Mos emas")))</f>
        <v/>
      </c>
      <c r="AT34" s="9">
        <f>IF(AP34="","",IF(AND(AP34&gt;=75,OR(Amaliy!R34="",Amaliy!R34&gt;=75)),"Ilg‘or",IF(OR(AP34&lt;45,AND(Amaliy!R34&lt;&gt;"",Amaliy!R34&lt;45)),"Yordam","Asosiy")))</f>
        <v/>
      </c>
    </row>
    <row r="35">
      <c r="A35" s="4" t="n">
        <v>30</v>
      </c>
      <c r="B35" s="4">
        <f>IF(Royxat!B31="","",Royxat!B31)</f>
        <v/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9">
        <f>IF(COUNTA($C35:$AF35)=0,"",SUMPRODUCT(--(UPPER(TRIM(C35:G35))=C$5:G$5)))</f>
        <v/>
      </c>
      <c r="AH35" s="9">
        <f>IF(COUNTA($C35:$AF35)=0,"",SUMPRODUCT(--(UPPER(TRIM(H35:L35))=H$5:L$5)))</f>
        <v/>
      </c>
      <c r="AI35" s="9">
        <f>IF(COUNTA($C35:$AF35)=0,"",SUMPRODUCT(--(UPPER(TRIM(M35:Q35))=M$5:Q$5)))</f>
        <v/>
      </c>
      <c r="AJ35" s="9">
        <f>IF(COUNTA($C35:$AF35)=0,"",SUMPRODUCT(--(UPPER(TRIM(R35:V35))=R$5:V$5)))</f>
        <v/>
      </c>
      <c r="AK35" s="9">
        <f>IF(COUNTA($C35:$AF35)=0,"",SUMPRODUCT(--(UPPER(TRIM(W35:AA35))=W$5:AA$5)))</f>
        <v/>
      </c>
      <c r="AL35" s="9">
        <f>IF(COUNTA($C35:$AF35)=0,"",SUMPRODUCT(--(UPPER(TRIM(AB35:AF35))=AB$5:AF$5)))</f>
        <v/>
      </c>
      <c r="AM35" s="9">
        <f>IF(AG35="","",ROUND((AG35+AH35+AI35)/15*100,0))</f>
        <v/>
      </c>
      <c r="AN35" s="9">
        <f>IF(AG35="","",ROUND((AJ35+AK35+AL35)/15*100,0))</f>
        <v/>
      </c>
      <c r="AO35" s="9">
        <f>IF(AG35="","",SUM(AG35:AL35))</f>
        <v/>
      </c>
      <c r="AP35" s="9">
        <f>IF(AO35="","",ROUND(AO35/30*100,0))</f>
        <v/>
      </c>
      <c r="AQ35" s="9">
        <f>IF(AP35="","",IF(AP35&gt;=Darajalar!$B$2,"Yuqori",IF(AP35&gt;=Darajalar!$B$3,"Yaxshi",IF(AP35&gt;=Darajalar!$B$4,"O‘rta","Boshlang‘ich"))))</f>
        <v/>
      </c>
      <c r="AR35" s="9">
        <f>IF(AP35="","",ROUND(AP35/10,0))</f>
        <v/>
      </c>
      <c r="AS35" s="9">
        <f>IF(AM35="","",IF(AM35&gt;=Darajalar!$B$3,"Mos",IF(AM35&gt;=Darajalar!$B$4,"Qisman mos","Mos emas")))</f>
        <v/>
      </c>
      <c r="AT35" s="9">
        <f>IF(AP35="","",IF(AND(AP35&gt;=75,OR(Amaliy!R35="",Amaliy!R35&gt;=75)),"Ilg‘or",IF(OR(AP35&lt;45,AND(Amaliy!R35&lt;&gt;"",Amaliy!R35&lt;45)),"Yordam","Asosiy")))</f>
        <v/>
      </c>
    </row>
    <row r="36">
      <c r="A36" s="4" t="n">
        <v>31</v>
      </c>
      <c r="B36" s="4">
        <f>IF(Royxat!B32="","",Royxat!B32)</f>
        <v/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9">
        <f>IF(COUNTA($C36:$AF36)=0,"",SUMPRODUCT(--(UPPER(TRIM(C36:G36))=C$5:G$5)))</f>
        <v/>
      </c>
      <c r="AH36" s="9">
        <f>IF(COUNTA($C36:$AF36)=0,"",SUMPRODUCT(--(UPPER(TRIM(H36:L36))=H$5:L$5)))</f>
        <v/>
      </c>
      <c r="AI36" s="9">
        <f>IF(COUNTA($C36:$AF36)=0,"",SUMPRODUCT(--(UPPER(TRIM(M36:Q36))=M$5:Q$5)))</f>
        <v/>
      </c>
      <c r="AJ36" s="9">
        <f>IF(COUNTA($C36:$AF36)=0,"",SUMPRODUCT(--(UPPER(TRIM(R36:V36))=R$5:V$5)))</f>
        <v/>
      </c>
      <c r="AK36" s="9">
        <f>IF(COUNTA($C36:$AF36)=0,"",SUMPRODUCT(--(UPPER(TRIM(W36:AA36))=W$5:AA$5)))</f>
        <v/>
      </c>
      <c r="AL36" s="9">
        <f>IF(COUNTA($C36:$AF36)=0,"",SUMPRODUCT(--(UPPER(TRIM(AB36:AF36))=AB$5:AF$5)))</f>
        <v/>
      </c>
      <c r="AM36" s="9">
        <f>IF(AG36="","",ROUND((AG36+AH36+AI36)/15*100,0))</f>
        <v/>
      </c>
      <c r="AN36" s="9">
        <f>IF(AG36="","",ROUND((AJ36+AK36+AL36)/15*100,0))</f>
        <v/>
      </c>
      <c r="AO36" s="9">
        <f>IF(AG36="","",SUM(AG36:AL36))</f>
        <v/>
      </c>
      <c r="AP36" s="9">
        <f>IF(AO36="","",ROUND(AO36/30*100,0))</f>
        <v/>
      </c>
      <c r="AQ36" s="9">
        <f>IF(AP36="","",IF(AP36&gt;=Darajalar!$B$2,"Yuqori",IF(AP36&gt;=Darajalar!$B$3,"Yaxshi",IF(AP36&gt;=Darajalar!$B$4,"O‘rta","Boshlang‘ich"))))</f>
        <v/>
      </c>
      <c r="AR36" s="9">
        <f>IF(AP36="","",ROUND(AP36/10,0))</f>
        <v/>
      </c>
      <c r="AS36" s="9">
        <f>IF(AM36="","",IF(AM36&gt;=Darajalar!$B$3,"Mos",IF(AM36&gt;=Darajalar!$B$4,"Qisman mos","Mos emas")))</f>
        <v/>
      </c>
      <c r="AT36" s="9">
        <f>IF(AP36="","",IF(AND(AP36&gt;=75,OR(Amaliy!R36="",Amaliy!R36&gt;=75)),"Ilg‘or",IF(OR(AP36&lt;45,AND(Amaliy!R36&lt;&gt;"",Amaliy!R36&lt;45)),"Yordam","Asosiy")))</f>
        <v/>
      </c>
    </row>
    <row r="37">
      <c r="A37" s="4" t="n">
        <v>32</v>
      </c>
      <c r="B37" s="4">
        <f>IF(Royxat!B33="","",Royxat!B33)</f>
        <v/>
      </c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9">
        <f>IF(COUNTA($C37:$AF37)=0,"",SUMPRODUCT(--(UPPER(TRIM(C37:G37))=C$5:G$5)))</f>
        <v/>
      </c>
      <c r="AH37" s="9">
        <f>IF(COUNTA($C37:$AF37)=0,"",SUMPRODUCT(--(UPPER(TRIM(H37:L37))=H$5:L$5)))</f>
        <v/>
      </c>
      <c r="AI37" s="9">
        <f>IF(COUNTA($C37:$AF37)=0,"",SUMPRODUCT(--(UPPER(TRIM(M37:Q37))=M$5:Q$5)))</f>
        <v/>
      </c>
      <c r="AJ37" s="9">
        <f>IF(COUNTA($C37:$AF37)=0,"",SUMPRODUCT(--(UPPER(TRIM(R37:V37))=R$5:V$5)))</f>
        <v/>
      </c>
      <c r="AK37" s="9">
        <f>IF(COUNTA($C37:$AF37)=0,"",SUMPRODUCT(--(UPPER(TRIM(W37:AA37))=W$5:AA$5)))</f>
        <v/>
      </c>
      <c r="AL37" s="9">
        <f>IF(COUNTA($C37:$AF37)=0,"",SUMPRODUCT(--(UPPER(TRIM(AB37:AF37))=AB$5:AF$5)))</f>
        <v/>
      </c>
      <c r="AM37" s="9">
        <f>IF(AG37="","",ROUND((AG37+AH37+AI37)/15*100,0))</f>
        <v/>
      </c>
      <c r="AN37" s="9">
        <f>IF(AG37="","",ROUND((AJ37+AK37+AL37)/15*100,0))</f>
        <v/>
      </c>
      <c r="AO37" s="9">
        <f>IF(AG37="","",SUM(AG37:AL37))</f>
        <v/>
      </c>
      <c r="AP37" s="9">
        <f>IF(AO37="","",ROUND(AO37/30*100,0))</f>
        <v/>
      </c>
      <c r="AQ37" s="9">
        <f>IF(AP37="","",IF(AP37&gt;=Darajalar!$B$2,"Yuqori",IF(AP37&gt;=Darajalar!$B$3,"Yaxshi",IF(AP37&gt;=Darajalar!$B$4,"O‘rta","Boshlang‘ich"))))</f>
        <v/>
      </c>
      <c r="AR37" s="9">
        <f>IF(AP37="","",ROUND(AP37/10,0))</f>
        <v/>
      </c>
      <c r="AS37" s="9">
        <f>IF(AM37="","",IF(AM37&gt;=Darajalar!$B$3,"Mos",IF(AM37&gt;=Darajalar!$B$4,"Qisman mos","Mos emas")))</f>
        <v/>
      </c>
      <c r="AT37" s="9">
        <f>IF(AP37="","",IF(AND(AP37&gt;=75,OR(Amaliy!R37="",Amaliy!R37&gt;=75)),"Ilg‘or",IF(OR(AP37&lt;45,AND(Amaliy!R37&lt;&gt;"",Amaliy!R37&lt;45)),"Yordam","Asosiy")))</f>
        <v/>
      </c>
    </row>
    <row r="38">
      <c r="A38" s="4" t="n">
        <v>33</v>
      </c>
      <c r="B38" s="4">
        <f>IF(Royxat!B34="","",Royxat!B34)</f>
        <v/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9">
        <f>IF(COUNTA($C38:$AF38)=0,"",SUMPRODUCT(--(UPPER(TRIM(C38:G38))=C$5:G$5)))</f>
        <v/>
      </c>
      <c r="AH38" s="9">
        <f>IF(COUNTA($C38:$AF38)=0,"",SUMPRODUCT(--(UPPER(TRIM(H38:L38))=H$5:L$5)))</f>
        <v/>
      </c>
      <c r="AI38" s="9">
        <f>IF(COUNTA($C38:$AF38)=0,"",SUMPRODUCT(--(UPPER(TRIM(M38:Q38))=M$5:Q$5)))</f>
        <v/>
      </c>
      <c r="AJ38" s="9">
        <f>IF(COUNTA($C38:$AF38)=0,"",SUMPRODUCT(--(UPPER(TRIM(R38:V38))=R$5:V$5)))</f>
        <v/>
      </c>
      <c r="AK38" s="9">
        <f>IF(COUNTA($C38:$AF38)=0,"",SUMPRODUCT(--(UPPER(TRIM(W38:AA38))=W$5:AA$5)))</f>
        <v/>
      </c>
      <c r="AL38" s="9">
        <f>IF(COUNTA($C38:$AF38)=0,"",SUMPRODUCT(--(UPPER(TRIM(AB38:AF38))=AB$5:AF$5)))</f>
        <v/>
      </c>
      <c r="AM38" s="9">
        <f>IF(AG38="","",ROUND((AG38+AH38+AI38)/15*100,0))</f>
        <v/>
      </c>
      <c r="AN38" s="9">
        <f>IF(AG38="","",ROUND((AJ38+AK38+AL38)/15*100,0))</f>
        <v/>
      </c>
      <c r="AO38" s="9">
        <f>IF(AG38="","",SUM(AG38:AL38))</f>
        <v/>
      </c>
      <c r="AP38" s="9">
        <f>IF(AO38="","",ROUND(AO38/30*100,0))</f>
        <v/>
      </c>
      <c r="AQ38" s="9">
        <f>IF(AP38="","",IF(AP38&gt;=Darajalar!$B$2,"Yuqori",IF(AP38&gt;=Darajalar!$B$3,"Yaxshi",IF(AP38&gt;=Darajalar!$B$4,"O‘rta","Boshlang‘ich"))))</f>
        <v/>
      </c>
      <c r="AR38" s="9">
        <f>IF(AP38="","",ROUND(AP38/10,0))</f>
        <v/>
      </c>
      <c r="AS38" s="9">
        <f>IF(AM38="","",IF(AM38&gt;=Darajalar!$B$3,"Mos",IF(AM38&gt;=Darajalar!$B$4,"Qisman mos","Mos emas")))</f>
        <v/>
      </c>
      <c r="AT38" s="9">
        <f>IF(AP38="","",IF(AND(AP38&gt;=75,OR(Amaliy!R38="",Amaliy!R38&gt;=75)),"Ilg‘or",IF(OR(AP38&lt;45,AND(Amaliy!R38&lt;&gt;"",Amaliy!R38&lt;45)),"Yordam","Asosiy")))</f>
        <v/>
      </c>
    </row>
    <row r="39">
      <c r="A39" s="4" t="n">
        <v>34</v>
      </c>
      <c r="B39" s="4">
        <f>IF(Royxat!B35="","",Royxat!B35)</f>
        <v/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9">
        <f>IF(COUNTA($C39:$AF39)=0,"",SUMPRODUCT(--(UPPER(TRIM(C39:G39))=C$5:G$5)))</f>
        <v/>
      </c>
      <c r="AH39" s="9">
        <f>IF(COUNTA($C39:$AF39)=0,"",SUMPRODUCT(--(UPPER(TRIM(H39:L39))=H$5:L$5)))</f>
        <v/>
      </c>
      <c r="AI39" s="9">
        <f>IF(COUNTA($C39:$AF39)=0,"",SUMPRODUCT(--(UPPER(TRIM(M39:Q39))=M$5:Q$5)))</f>
        <v/>
      </c>
      <c r="AJ39" s="9">
        <f>IF(COUNTA($C39:$AF39)=0,"",SUMPRODUCT(--(UPPER(TRIM(R39:V39))=R$5:V$5)))</f>
        <v/>
      </c>
      <c r="AK39" s="9">
        <f>IF(COUNTA($C39:$AF39)=0,"",SUMPRODUCT(--(UPPER(TRIM(W39:AA39))=W$5:AA$5)))</f>
        <v/>
      </c>
      <c r="AL39" s="9">
        <f>IF(COUNTA($C39:$AF39)=0,"",SUMPRODUCT(--(UPPER(TRIM(AB39:AF39))=AB$5:AF$5)))</f>
        <v/>
      </c>
      <c r="AM39" s="9">
        <f>IF(AG39="","",ROUND((AG39+AH39+AI39)/15*100,0))</f>
        <v/>
      </c>
      <c r="AN39" s="9">
        <f>IF(AG39="","",ROUND((AJ39+AK39+AL39)/15*100,0))</f>
        <v/>
      </c>
      <c r="AO39" s="9">
        <f>IF(AG39="","",SUM(AG39:AL39))</f>
        <v/>
      </c>
      <c r="AP39" s="9">
        <f>IF(AO39="","",ROUND(AO39/30*100,0))</f>
        <v/>
      </c>
      <c r="AQ39" s="9">
        <f>IF(AP39="","",IF(AP39&gt;=Darajalar!$B$2,"Yuqori",IF(AP39&gt;=Darajalar!$B$3,"Yaxshi",IF(AP39&gt;=Darajalar!$B$4,"O‘rta","Boshlang‘ich"))))</f>
        <v/>
      </c>
      <c r="AR39" s="9">
        <f>IF(AP39="","",ROUND(AP39/10,0))</f>
        <v/>
      </c>
      <c r="AS39" s="9">
        <f>IF(AM39="","",IF(AM39&gt;=Darajalar!$B$3,"Mos",IF(AM39&gt;=Darajalar!$B$4,"Qisman mos","Mos emas")))</f>
        <v/>
      </c>
      <c r="AT39" s="9">
        <f>IF(AP39="","",IF(AND(AP39&gt;=75,OR(Amaliy!R39="",Amaliy!R39&gt;=75)),"Ilg‘or",IF(OR(AP39&lt;45,AND(Amaliy!R39&lt;&gt;"",Amaliy!R39&lt;45)),"Yordam","Asosiy")))</f>
        <v/>
      </c>
    </row>
    <row r="40">
      <c r="A40" s="4" t="n">
        <v>35</v>
      </c>
      <c r="B40" s="4">
        <f>IF(Royxat!B36="","",Royxat!B36)</f>
        <v/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9">
        <f>IF(COUNTA($C40:$AF40)=0,"",SUMPRODUCT(--(UPPER(TRIM(C40:G40))=C$5:G$5)))</f>
        <v/>
      </c>
      <c r="AH40" s="9">
        <f>IF(COUNTA($C40:$AF40)=0,"",SUMPRODUCT(--(UPPER(TRIM(H40:L40))=H$5:L$5)))</f>
        <v/>
      </c>
      <c r="AI40" s="9">
        <f>IF(COUNTA($C40:$AF40)=0,"",SUMPRODUCT(--(UPPER(TRIM(M40:Q40))=M$5:Q$5)))</f>
        <v/>
      </c>
      <c r="AJ40" s="9">
        <f>IF(COUNTA($C40:$AF40)=0,"",SUMPRODUCT(--(UPPER(TRIM(R40:V40))=R$5:V$5)))</f>
        <v/>
      </c>
      <c r="AK40" s="9">
        <f>IF(COUNTA($C40:$AF40)=0,"",SUMPRODUCT(--(UPPER(TRIM(W40:AA40))=W$5:AA$5)))</f>
        <v/>
      </c>
      <c r="AL40" s="9">
        <f>IF(COUNTA($C40:$AF40)=0,"",SUMPRODUCT(--(UPPER(TRIM(AB40:AF40))=AB$5:AF$5)))</f>
        <v/>
      </c>
      <c r="AM40" s="9">
        <f>IF(AG40="","",ROUND((AG40+AH40+AI40)/15*100,0))</f>
        <v/>
      </c>
      <c r="AN40" s="9">
        <f>IF(AG40="","",ROUND((AJ40+AK40+AL40)/15*100,0))</f>
        <v/>
      </c>
      <c r="AO40" s="9">
        <f>IF(AG40="","",SUM(AG40:AL40))</f>
        <v/>
      </c>
      <c r="AP40" s="9">
        <f>IF(AO40="","",ROUND(AO40/30*100,0))</f>
        <v/>
      </c>
      <c r="AQ40" s="9">
        <f>IF(AP40="","",IF(AP40&gt;=Darajalar!$B$2,"Yuqori",IF(AP40&gt;=Darajalar!$B$3,"Yaxshi",IF(AP40&gt;=Darajalar!$B$4,"O‘rta","Boshlang‘ich"))))</f>
        <v/>
      </c>
      <c r="AR40" s="9">
        <f>IF(AP40="","",ROUND(AP40/10,0))</f>
        <v/>
      </c>
      <c r="AS40" s="9">
        <f>IF(AM40="","",IF(AM40&gt;=Darajalar!$B$3,"Mos",IF(AM40&gt;=Darajalar!$B$4,"Qisman mos","Mos emas")))</f>
        <v/>
      </c>
      <c r="AT40" s="9">
        <f>IF(AP40="","",IF(AND(AP40&gt;=75,OR(Amaliy!R40="",Amaliy!R40&gt;=75)),"Ilg‘or",IF(OR(AP40&lt;45,AND(Amaliy!R40&lt;&gt;"",Amaliy!R40&lt;45)),"Yordam","Asosiy")))</f>
        <v/>
      </c>
    </row>
    <row r="42">
      <c r="B42" s="2" t="inlineStr">
        <is>
          <t>Sinf o‘rtacha</t>
        </is>
      </c>
      <c r="AG42" s="2">
        <f>IFERROR(ROUND(AVERAGE(AG6:AG40),1),"")</f>
        <v/>
      </c>
      <c r="AH42" s="2">
        <f>IFERROR(ROUND(AVERAGE(AH6:AH40),1),"")</f>
        <v/>
      </c>
      <c r="AI42" s="2">
        <f>IFERROR(ROUND(AVERAGE(AI6:AI40),1),"")</f>
        <v/>
      </c>
      <c r="AJ42" s="2">
        <f>IFERROR(ROUND(AVERAGE(AJ6:AJ40),1),"")</f>
        <v/>
      </c>
      <c r="AK42" s="2">
        <f>IFERROR(ROUND(AVERAGE(AK6:AK40),1),"")</f>
        <v/>
      </c>
      <c r="AL42" s="2">
        <f>IFERROR(ROUND(AVERAGE(AL6:AL40),1),"")</f>
        <v/>
      </c>
      <c r="AM42" s="2">
        <f>IFERROR(ROUND(AVERAGE(AM6:AM40),1),"")</f>
        <v/>
      </c>
      <c r="AN42" s="2">
        <f>IFERROR(ROUND(AVERAGE(AN6:AN40),1),"")</f>
        <v/>
      </c>
      <c r="AO42" s="2">
        <f>IFERROR(ROUND(AVERAGE(AO6:AO40),1),"")</f>
        <v/>
      </c>
      <c r="AP42" s="2">
        <f>IFERROR(ROUND(AVERAGE(AP6:AP40),1),"")</f>
        <v/>
      </c>
      <c r="AR42" s="2">
        <f>IFERROR(ROUND(AVERAGE(AR6:AR40),1),"")</f>
        <v/>
      </c>
    </row>
    <row r="43">
      <c r="B43" s="2" t="inlineStr">
        <is>
          <t>Savol bo‘yicha to‘g‘ri %</t>
        </is>
      </c>
      <c r="C43" s="10">
        <f>IF(COUNT($AP$6:$AP$40)=0,"",ROUND(SUMPRODUCT(--(UPPER(TRIM(C$6:C$40))=C$5))/COUNT($AP$6:$AP$40)*100,0))</f>
        <v/>
      </c>
      <c r="D43" s="10">
        <f>IF(COUNT($AP$6:$AP$40)=0,"",ROUND(SUMPRODUCT(--(UPPER(TRIM(D$6:D$40))=D$5))/COUNT($AP$6:$AP$40)*100,0))</f>
        <v/>
      </c>
      <c r="E43" s="10">
        <f>IF(COUNT($AP$6:$AP$40)=0,"",ROUND(SUMPRODUCT(--(UPPER(TRIM(E$6:E$40))=E$5))/COUNT($AP$6:$AP$40)*100,0))</f>
        <v/>
      </c>
      <c r="F43" s="10">
        <f>IF(COUNT($AP$6:$AP$40)=0,"",ROUND(SUMPRODUCT(--(UPPER(TRIM(F$6:F$40))=F$5))/COUNT($AP$6:$AP$40)*100,0))</f>
        <v/>
      </c>
      <c r="G43" s="10">
        <f>IF(COUNT($AP$6:$AP$40)=0,"",ROUND(SUMPRODUCT(--(UPPER(TRIM(G$6:G$40))=G$5))/COUNT($AP$6:$AP$40)*100,0))</f>
        <v/>
      </c>
      <c r="H43" s="10">
        <f>IF(COUNT($AP$6:$AP$40)=0,"",ROUND(SUMPRODUCT(--(UPPER(TRIM(H$6:H$40))=H$5))/COUNT($AP$6:$AP$40)*100,0))</f>
        <v/>
      </c>
      <c r="I43" s="10">
        <f>IF(COUNT($AP$6:$AP$40)=0,"",ROUND(SUMPRODUCT(--(UPPER(TRIM(I$6:I$40))=I$5))/COUNT($AP$6:$AP$40)*100,0))</f>
        <v/>
      </c>
      <c r="J43" s="10">
        <f>IF(COUNT($AP$6:$AP$40)=0,"",ROUND(SUMPRODUCT(--(UPPER(TRIM(J$6:J$40))=J$5))/COUNT($AP$6:$AP$40)*100,0))</f>
        <v/>
      </c>
      <c r="K43" s="10">
        <f>IF(COUNT($AP$6:$AP$40)=0,"",ROUND(SUMPRODUCT(--(UPPER(TRIM(K$6:K$40))=K$5))/COUNT($AP$6:$AP$40)*100,0))</f>
        <v/>
      </c>
      <c r="L43" s="10">
        <f>IF(COUNT($AP$6:$AP$40)=0,"",ROUND(SUMPRODUCT(--(UPPER(TRIM(L$6:L$40))=L$5))/COUNT($AP$6:$AP$40)*100,0))</f>
        <v/>
      </c>
      <c r="M43" s="10">
        <f>IF(COUNT($AP$6:$AP$40)=0,"",ROUND(SUMPRODUCT(--(UPPER(TRIM(M$6:M$40))=M$5))/COUNT($AP$6:$AP$40)*100,0))</f>
        <v/>
      </c>
      <c r="N43" s="10">
        <f>IF(COUNT($AP$6:$AP$40)=0,"",ROUND(SUMPRODUCT(--(UPPER(TRIM(N$6:N$40))=N$5))/COUNT($AP$6:$AP$40)*100,0))</f>
        <v/>
      </c>
      <c r="O43" s="10">
        <f>IF(COUNT($AP$6:$AP$40)=0,"",ROUND(SUMPRODUCT(--(UPPER(TRIM(O$6:O$40))=O$5))/COUNT($AP$6:$AP$40)*100,0))</f>
        <v/>
      </c>
      <c r="P43" s="10">
        <f>IF(COUNT($AP$6:$AP$40)=0,"",ROUND(SUMPRODUCT(--(UPPER(TRIM(P$6:P$40))=P$5))/COUNT($AP$6:$AP$40)*100,0))</f>
        <v/>
      </c>
      <c r="Q43" s="10">
        <f>IF(COUNT($AP$6:$AP$40)=0,"",ROUND(SUMPRODUCT(--(UPPER(TRIM(Q$6:Q$40))=Q$5))/COUNT($AP$6:$AP$40)*100,0))</f>
        <v/>
      </c>
      <c r="R43" s="10">
        <f>IF(COUNT($AP$6:$AP$40)=0,"",ROUND(SUMPRODUCT(--(UPPER(TRIM(R$6:R$40))=R$5))/COUNT($AP$6:$AP$40)*100,0))</f>
        <v/>
      </c>
      <c r="S43" s="10">
        <f>IF(COUNT($AP$6:$AP$40)=0,"",ROUND(SUMPRODUCT(--(UPPER(TRIM(S$6:S$40))=S$5))/COUNT($AP$6:$AP$40)*100,0))</f>
        <v/>
      </c>
      <c r="T43" s="10">
        <f>IF(COUNT($AP$6:$AP$40)=0,"",ROUND(SUMPRODUCT(--(UPPER(TRIM(T$6:T$40))=T$5))/COUNT($AP$6:$AP$40)*100,0))</f>
        <v/>
      </c>
      <c r="U43" s="10">
        <f>IF(COUNT($AP$6:$AP$40)=0,"",ROUND(SUMPRODUCT(--(UPPER(TRIM(U$6:U$40))=U$5))/COUNT($AP$6:$AP$40)*100,0))</f>
        <v/>
      </c>
      <c r="V43" s="10">
        <f>IF(COUNT($AP$6:$AP$40)=0,"",ROUND(SUMPRODUCT(--(UPPER(TRIM(V$6:V$40))=V$5))/COUNT($AP$6:$AP$40)*100,0))</f>
        <v/>
      </c>
      <c r="W43" s="10">
        <f>IF(COUNT($AP$6:$AP$40)=0,"",ROUND(SUMPRODUCT(--(UPPER(TRIM(W$6:W$40))=W$5))/COUNT($AP$6:$AP$40)*100,0))</f>
        <v/>
      </c>
      <c r="X43" s="10">
        <f>IF(COUNT($AP$6:$AP$40)=0,"",ROUND(SUMPRODUCT(--(UPPER(TRIM(X$6:X$40))=X$5))/COUNT($AP$6:$AP$40)*100,0))</f>
        <v/>
      </c>
      <c r="Y43" s="10">
        <f>IF(COUNT($AP$6:$AP$40)=0,"",ROUND(SUMPRODUCT(--(UPPER(TRIM(Y$6:Y$40))=Y$5))/COUNT($AP$6:$AP$40)*100,0))</f>
        <v/>
      </c>
      <c r="Z43" s="10">
        <f>IF(COUNT($AP$6:$AP$40)=0,"",ROUND(SUMPRODUCT(--(UPPER(TRIM(Z$6:Z$40))=Z$5))/COUNT($AP$6:$AP$40)*100,0))</f>
        <v/>
      </c>
      <c r="AA43" s="10">
        <f>IF(COUNT($AP$6:$AP$40)=0,"",ROUND(SUMPRODUCT(--(UPPER(TRIM(AA$6:AA$40))=AA$5))/COUNT($AP$6:$AP$40)*100,0))</f>
        <v/>
      </c>
      <c r="AB43" s="10">
        <f>IF(COUNT($AP$6:$AP$40)=0,"",ROUND(SUMPRODUCT(--(UPPER(TRIM(AB$6:AB$40))=AB$5))/COUNT($AP$6:$AP$40)*100,0))</f>
        <v/>
      </c>
      <c r="AC43" s="10">
        <f>IF(COUNT($AP$6:$AP$40)=0,"",ROUND(SUMPRODUCT(--(UPPER(TRIM(AC$6:AC$40))=AC$5))/COUNT($AP$6:$AP$40)*100,0))</f>
        <v/>
      </c>
      <c r="AD43" s="10">
        <f>IF(COUNT($AP$6:$AP$40)=0,"",ROUND(SUMPRODUCT(--(UPPER(TRIM(AD$6:AD$40))=AD$5))/COUNT($AP$6:$AP$40)*100,0))</f>
        <v/>
      </c>
      <c r="AE43" s="10">
        <f>IF(COUNT($AP$6:$AP$40)=0,"",ROUND(SUMPRODUCT(--(UPPER(TRIM(AE$6:AE$40))=AE$5))/COUNT($AP$6:$AP$40)*100,0))</f>
        <v/>
      </c>
      <c r="AF43" s="10">
        <f>IF(COUNT($AP$6:$AP$40)=0,"",ROUND(SUMPRODUCT(--(UPPER(TRIM(AF$6:AF$40))=AF$5))/COUNT($AP$6:$AP$40)*100,0))</f>
        <v/>
      </c>
    </row>
    <row r="44">
      <c r="B44" s="11" t="inlineStr">
        <is>
          <t>40 % dan past (qizil) savollar — butun sinf uchun qiyin mavzu.</t>
        </is>
      </c>
    </row>
  </sheetData>
  <mergeCells count="6">
    <mergeCell ref="AB3:AF3"/>
    <mergeCell ref="H3:L3"/>
    <mergeCell ref="R3:V3"/>
    <mergeCell ref="W3:AA3"/>
    <mergeCell ref="M3:Q3"/>
    <mergeCell ref="C3:G3"/>
  </mergeCells>
  <conditionalFormatting sqref="C43:AF43">
    <cfRule type="expression" priority="1" dxfId="0">
      <formula>AND(C43&lt;&gt;"",C43&lt;40)</formula>
    </cfRule>
  </conditionalFormatting>
  <conditionalFormatting sqref="C6:AF40">
    <cfRule type="expression" priority="2" dxfId="1">
      <formula>AND(C6&lt;&gt;"",UPPER(TRIM(C6))=C$5)</formula>
    </cfRule>
    <cfRule type="expression" priority="3" dxfId="0">
      <formula>AND(C6&lt;&gt;"",UPPER(TRIM(C6))&lt;&gt;C$5)</formula>
    </cfRule>
  </conditionalFormatting>
  <conditionalFormatting sqref="AQ6:AQ40">
    <cfRule type="cellIs" priority="4" operator="equal" dxfId="1">
      <formula>"Yuqori"</formula>
    </cfRule>
    <cfRule type="cellIs" priority="5" operator="equal" dxfId="2">
      <formula>"Yaxshi"</formula>
    </cfRule>
    <cfRule type="cellIs" priority="6" operator="equal" dxfId="3">
      <formula>"O‘rta"</formula>
    </cfRule>
    <cfRule type="cellIs" priority="7" operator="equal" dxfId="0">
      <formula>"Boshlang‘ich"</formula>
    </cfRule>
  </conditionalFormatting>
  <conditionalFormatting sqref="AS6:AS40">
    <cfRule type="cellIs" priority="8" operator="equal" dxfId="1">
      <formula>"Mos"</formula>
    </cfRule>
    <cfRule type="cellIs" priority="9" operator="equal" dxfId="3">
      <formula>"Qisman mos"</formula>
    </cfRule>
    <cfRule type="cellIs" priority="10" operator="equal" dxfId="0">
      <formula>"Mos emas"</formula>
    </cfRule>
  </conditionalFormatting>
  <conditionalFormatting sqref="AT6:AT40">
    <cfRule type="cellIs" priority="11" operator="equal" dxfId="1">
      <formula>"Ilg‘or"</formula>
    </cfRule>
    <cfRule type="cellIs" priority="12" operator="equal" dxfId="2">
      <formula>"Asosiy"</formula>
    </cfRule>
    <cfRule type="cellIs" priority="13" operator="equal" dxfId="0">
      <formula>"Yordam"</formula>
    </cfRule>
  </conditionalFormatting>
  <dataValidations count="1">
    <dataValidation sqref="C6:AF40" showDropDown="0" showInputMessage="0" showErrorMessage="1" allowBlank="1" errorTitle="Javob" error="Faqat A, B, C yoki D yozing." type="list" errorStyle="warning">
      <formula1>"A,B,C,D"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9" customWidth="1" min="3" max="3"/>
    <col width="9" customWidth="1" min="4" max="4"/>
    <col width="9" customWidth="1" min="5" max="5"/>
    <col width="7" customWidth="1" min="6" max="6"/>
    <col width="13" customWidth="1" min="7" max="7"/>
    <col width="13" customWidth="1" min="8" max="8"/>
    <col width="10" customWidth="1" min="9" max="9"/>
    <col width="22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8" customWidth="1" min="18" max="18"/>
    <col width="30" customWidth="1" min="19" max="19"/>
    <col width="38" customWidth="1" min="21" max="21"/>
    <col width="12" customWidth="1" min="22" max="22"/>
    <col width="12" customWidth="1" min="23" max="23"/>
    <col width="12" customWidth="1" min="24" max="24"/>
  </cols>
  <sheetData>
    <row r="1">
      <c r="A1" s="12" t="inlineStr">
        <is>
          <t>7A — Oktabr (A) ↔ Yanvar (B) solishtirish. Bu varaq to‘liq avtomatik (faqat NB soni va Izohni yozasiz).</t>
        </is>
      </c>
    </row>
    <row r="3">
      <c r="U3" s="12" t="inlineStr">
        <is>
          <t>SINF XULOSASI</t>
        </is>
      </c>
    </row>
    <row r="4" ht="30" customHeight="1">
      <c r="A4" s="3" t="inlineStr">
        <is>
          <t>№</t>
        </is>
      </c>
      <c r="B4" s="3" t="inlineStr">
        <is>
          <t>F.I.Sh.</t>
        </is>
      </c>
      <c r="C4" s="3" t="inlineStr">
        <is>
          <t>A: Jami %</t>
        </is>
      </c>
      <c r="D4" s="3" t="inlineStr">
        <is>
          <t>B: Jami %</t>
        </is>
      </c>
      <c r="E4" s="3" t="inlineStr">
        <is>
          <t>O‘sish Δ</t>
        </is>
      </c>
      <c r="F4" s="3" t="inlineStr">
        <is>
          <t>g</t>
        </is>
      </c>
      <c r="G4" s="3" t="inlineStr">
        <is>
          <t>Daraja (okt)</t>
        </is>
      </c>
      <c r="H4" s="3" t="inlineStr">
        <is>
          <t>Daraja (yan)</t>
        </is>
      </c>
      <c r="I4" s="3" t="inlineStr">
        <is>
          <t>O‘zgarish</t>
        </is>
      </c>
      <c r="J4" s="3" t="inlineStr">
        <is>
          <t>Δ talqini</t>
        </is>
      </c>
      <c r="K4" s="3" t="inlineStr">
        <is>
          <t>Tayanch A</t>
        </is>
      </c>
      <c r="L4" s="3" t="inlineStr">
        <is>
          <t>Tayanch B</t>
        </is>
      </c>
      <c r="M4" s="3" t="inlineStr">
        <is>
          <t>7-sinf A</t>
        </is>
      </c>
      <c r="N4" s="3" t="inlineStr">
        <is>
          <t>7-sinf B</t>
        </is>
      </c>
      <c r="O4" s="3" t="inlineStr">
        <is>
          <t>Amaliy okt</t>
        </is>
      </c>
      <c r="P4" s="3" t="inlineStr">
        <is>
          <t>Amaliy yan</t>
        </is>
      </c>
      <c r="Q4" s="3" t="inlineStr">
        <is>
          <t>Guruh (okt)</t>
        </is>
      </c>
      <c r="R4" s="3" t="inlineStr">
        <is>
          <t>NB soni</t>
        </is>
      </c>
      <c r="S4" s="3" t="inlineStr">
        <is>
          <t>Izoh</t>
        </is>
      </c>
      <c r="U4" s="3" t="inlineStr">
        <is>
          <t>Ko‘rsatkich</t>
        </is>
      </c>
      <c r="V4" s="3" t="inlineStr">
        <is>
          <t>Oktabr (A)</t>
        </is>
      </c>
      <c r="W4" s="3" t="inlineStr">
        <is>
          <t>Yanvar (B)</t>
        </is>
      </c>
      <c r="X4" s="3" t="inlineStr">
        <is>
          <t>O‘zgarish</t>
        </is>
      </c>
    </row>
    <row r="5">
      <c r="U5" s="4" t="inlineStr">
        <is>
          <t>Qatnashganlar</t>
        </is>
      </c>
      <c r="V5" s="4">
        <f>COUNT(C6:C40)</f>
        <v/>
      </c>
      <c r="W5" s="4">
        <f>COUNT(D6:D40)</f>
        <v/>
      </c>
      <c r="X5" s="4">
        <f>IFERROR(IF(OR(V5="",W5=""),"",W5-V5),"")</f>
        <v/>
      </c>
    </row>
    <row r="6">
      <c r="A6" s="4" t="n">
        <v>1</v>
      </c>
      <c r="B6" s="4">
        <f>IF(Royxat!B2="","",Royxat!B2)</f>
        <v/>
      </c>
      <c r="C6" s="9">
        <f>A_kirish!AP6</f>
        <v/>
      </c>
      <c r="D6" s="9">
        <f>B_yakuniy!AP6</f>
        <v/>
      </c>
      <c r="E6" s="9">
        <f>IF(OR(C6="",D6=""),"",D6-C6)</f>
        <v/>
      </c>
      <c r="F6" s="9">
        <f>IF(OR(C6="",D6=""),"",IF(C6&gt;=100,"—",ROUND((D6-C6)/(100-C6),2)))</f>
        <v/>
      </c>
      <c r="G6" s="9">
        <f>A_kirish!AQ6</f>
        <v/>
      </c>
      <c r="H6" s="9">
        <f>B_yakuniy!AQ6</f>
        <v/>
      </c>
      <c r="I6" s="9">
        <f>IF(OR(G6="",H6=""),"",IF(MATCH(H6,Darajalar!$A$2:$A$5,0)&lt;MATCH(G6,Darajalar!$A$2:$A$5,0),"↑",IF(MATCH(H6,Darajalar!$A$2:$A$5,0)=MATCH(G6,Darajalar!$A$2:$A$5,0),"=","↓")))</f>
        <v/>
      </c>
      <c r="J6" s="9">
        <f>IF(E6="","",IF(ABS(E6)&lt;=7,"o‘zgarishsiz (±2 savol)",IF(E6&gt;0,"o‘sdi","pasaydi")))</f>
        <v/>
      </c>
      <c r="K6" s="9">
        <f>A_kirish!AM6</f>
        <v/>
      </c>
      <c r="L6" s="9">
        <f>B_yakuniy!AM6</f>
        <v/>
      </c>
      <c r="M6" s="9">
        <f>A_kirish!AN6</f>
        <v/>
      </c>
      <c r="N6" s="9">
        <f>B_yakuniy!AN6</f>
        <v/>
      </c>
      <c r="O6" s="9">
        <f>Amaliy!J6</f>
        <v/>
      </c>
      <c r="P6" s="9">
        <f>Amaliy!R6</f>
        <v/>
      </c>
      <c r="Q6" s="9">
        <f>A_kirish!AT6</f>
        <v/>
      </c>
      <c r="R6" s="4" t="n"/>
      <c r="S6" s="4" t="n"/>
      <c r="U6" s="4" t="inlineStr">
        <is>
          <t>O‘rtacha Jami %</t>
        </is>
      </c>
      <c r="V6" s="4">
        <f>IFERROR(ROUND(AVERAGE(C6:C40),1),"")</f>
        <v/>
      </c>
      <c r="W6" s="4">
        <f>IFERROR(ROUND(AVERAGE(D6:D40),1),"")</f>
        <v/>
      </c>
      <c r="X6" s="4">
        <f>IFERROR(IF(OR(V6="",W6=""),"",W6-V6),"")</f>
        <v/>
      </c>
    </row>
    <row r="7">
      <c r="A7" s="4" t="n">
        <v>2</v>
      </c>
      <c r="B7" s="4">
        <f>IF(Royxat!B3="","",Royxat!B3)</f>
        <v/>
      </c>
      <c r="C7" s="9">
        <f>A_kirish!AP7</f>
        <v/>
      </c>
      <c r="D7" s="9">
        <f>B_yakuniy!AP7</f>
        <v/>
      </c>
      <c r="E7" s="9">
        <f>IF(OR(C7="",D7=""),"",D7-C7)</f>
        <v/>
      </c>
      <c r="F7" s="9">
        <f>IF(OR(C7="",D7=""),"",IF(C7&gt;=100,"—",ROUND((D7-C7)/(100-C7),2)))</f>
        <v/>
      </c>
      <c r="G7" s="9">
        <f>A_kirish!AQ7</f>
        <v/>
      </c>
      <c r="H7" s="9">
        <f>B_yakuniy!AQ7</f>
        <v/>
      </c>
      <c r="I7" s="9">
        <f>IF(OR(G7="",H7=""),"",IF(MATCH(H7,Darajalar!$A$2:$A$5,0)&lt;MATCH(G7,Darajalar!$A$2:$A$5,0),"↑",IF(MATCH(H7,Darajalar!$A$2:$A$5,0)=MATCH(G7,Darajalar!$A$2:$A$5,0),"=","↓")))</f>
        <v/>
      </c>
      <c r="J7" s="9">
        <f>IF(E7="","",IF(ABS(E7)&lt;=7,"o‘zgarishsiz (±2 savol)",IF(E7&gt;0,"o‘sdi","pasaydi")))</f>
        <v/>
      </c>
      <c r="K7" s="9">
        <f>A_kirish!AM7</f>
        <v/>
      </c>
      <c r="L7" s="9">
        <f>B_yakuniy!AM7</f>
        <v/>
      </c>
      <c r="M7" s="9">
        <f>A_kirish!AN7</f>
        <v/>
      </c>
      <c r="N7" s="9">
        <f>B_yakuniy!AN7</f>
        <v/>
      </c>
      <c r="O7" s="9">
        <f>Amaliy!J7</f>
        <v/>
      </c>
      <c r="P7" s="9">
        <f>Amaliy!R7</f>
        <v/>
      </c>
      <c r="Q7" s="9">
        <f>A_kirish!AT7</f>
        <v/>
      </c>
      <c r="R7" s="4" t="n"/>
      <c r="S7" s="4" t="n"/>
      <c r="U7" s="4" t="inlineStr">
        <is>
          <t>Median %</t>
        </is>
      </c>
      <c r="V7" s="4">
        <f>IF(COUNT(C6:C40)=0,"",MEDIAN(C6:C40))</f>
        <v/>
      </c>
      <c r="W7" s="4">
        <f>IF(COUNT(D6:D40)=0,"",MEDIAN(D6:D40))</f>
        <v/>
      </c>
      <c r="X7" s="4">
        <f>IFERROR(IF(OR(V7="",W7=""),"",W7-V7),"")</f>
        <v/>
      </c>
    </row>
    <row r="8">
      <c r="A8" s="4" t="n">
        <v>3</v>
      </c>
      <c r="B8" s="4">
        <f>IF(Royxat!B4="","",Royxat!B4)</f>
        <v/>
      </c>
      <c r="C8" s="9">
        <f>A_kirish!AP8</f>
        <v/>
      </c>
      <c r="D8" s="9">
        <f>B_yakuniy!AP8</f>
        <v/>
      </c>
      <c r="E8" s="9">
        <f>IF(OR(C8="",D8=""),"",D8-C8)</f>
        <v/>
      </c>
      <c r="F8" s="9">
        <f>IF(OR(C8="",D8=""),"",IF(C8&gt;=100,"—",ROUND((D8-C8)/(100-C8),2)))</f>
        <v/>
      </c>
      <c r="G8" s="9">
        <f>A_kirish!AQ8</f>
        <v/>
      </c>
      <c r="H8" s="9">
        <f>B_yakuniy!AQ8</f>
        <v/>
      </c>
      <c r="I8" s="9">
        <f>IF(OR(G8="",H8=""),"",IF(MATCH(H8,Darajalar!$A$2:$A$5,0)&lt;MATCH(G8,Darajalar!$A$2:$A$5,0),"↑",IF(MATCH(H8,Darajalar!$A$2:$A$5,0)=MATCH(G8,Darajalar!$A$2:$A$5,0),"=","↓")))</f>
        <v/>
      </c>
      <c r="J8" s="9">
        <f>IF(E8="","",IF(ABS(E8)&lt;=7,"o‘zgarishsiz (±2 savol)",IF(E8&gt;0,"o‘sdi","pasaydi")))</f>
        <v/>
      </c>
      <c r="K8" s="9">
        <f>A_kirish!AM8</f>
        <v/>
      </c>
      <c r="L8" s="9">
        <f>B_yakuniy!AM8</f>
        <v/>
      </c>
      <c r="M8" s="9">
        <f>A_kirish!AN8</f>
        <v/>
      </c>
      <c r="N8" s="9">
        <f>B_yakuniy!AN8</f>
        <v/>
      </c>
      <c r="O8" s="9">
        <f>Amaliy!J8</f>
        <v/>
      </c>
      <c r="P8" s="9">
        <f>Amaliy!R8</f>
        <v/>
      </c>
      <c r="Q8" s="9">
        <f>A_kirish!AT8</f>
        <v/>
      </c>
      <c r="R8" s="4" t="n"/>
      <c r="S8" s="4" t="n"/>
      <c r="U8" s="4" t="inlineStr">
        <is>
          <t>Eng past %</t>
        </is>
      </c>
      <c r="V8" s="4">
        <f>IF(COUNT(C6:C40)=0,"",MIN(C6:C40))</f>
        <v/>
      </c>
      <c r="W8" s="4">
        <f>IF(COUNT(D6:D40)=0,"",MIN(D6:D40))</f>
        <v/>
      </c>
      <c r="X8" s="4">
        <f>IFERROR(IF(OR(V8="",W8=""),"",W8-V8),"")</f>
        <v/>
      </c>
    </row>
    <row r="9">
      <c r="A9" s="4" t="n">
        <v>4</v>
      </c>
      <c r="B9" s="4">
        <f>IF(Royxat!B5="","",Royxat!B5)</f>
        <v/>
      </c>
      <c r="C9" s="9">
        <f>A_kirish!AP9</f>
        <v/>
      </c>
      <c r="D9" s="9">
        <f>B_yakuniy!AP9</f>
        <v/>
      </c>
      <c r="E9" s="9">
        <f>IF(OR(C9="",D9=""),"",D9-C9)</f>
        <v/>
      </c>
      <c r="F9" s="9">
        <f>IF(OR(C9="",D9=""),"",IF(C9&gt;=100,"—",ROUND((D9-C9)/(100-C9),2)))</f>
        <v/>
      </c>
      <c r="G9" s="9">
        <f>A_kirish!AQ9</f>
        <v/>
      </c>
      <c r="H9" s="9">
        <f>B_yakuniy!AQ9</f>
        <v/>
      </c>
      <c r="I9" s="9">
        <f>IF(OR(G9="",H9=""),"",IF(MATCH(H9,Darajalar!$A$2:$A$5,0)&lt;MATCH(G9,Darajalar!$A$2:$A$5,0),"↑",IF(MATCH(H9,Darajalar!$A$2:$A$5,0)=MATCH(G9,Darajalar!$A$2:$A$5,0),"=","↓")))</f>
        <v/>
      </c>
      <c r="J9" s="9">
        <f>IF(E9="","",IF(ABS(E9)&lt;=7,"o‘zgarishsiz (±2 savol)",IF(E9&gt;0,"o‘sdi","pasaydi")))</f>
        <v/>
      </c>
      <c r="K9" s="9">
        <f>A_kirish!AM9</f>
        <v/>
      </c>
      <c r="L9" s="9">
        <f>B_yakuniy!AM9</f>
        <v/>
      </c>
      <c r="M9" s="9">
        <f>A_kirish!AN9</f>
        <v/>
      </c>
      <c r="N9" s="9">
        <f>B_yakuniy!AN9</f>
        <v/>
      </c>
      <c r="O9" s="9">
        <f>Amaliy!J9</f>
        <v/>
      </c>
      <c r="P9" s="9">
        <f>Amaliy!R9</f>
        <v/>
      </c>
      <c r="Q9" s="9">
        <f>A_kirish!AT9</f>
        <v/>
      </c>
      <c r="R9" s="4" t="n"/>
      <c r="S9" s="4" t="n"/>
      <c r="U9" s="4" t="inlineStr">
        <is>
          <t>Eng yuqori %</t>
        </is>
      </c>
      <c r="V9" s="4">
        <f>IF(COUNT(C6:C40)=0,"",MAX(C6:C40))</f>
        <v/>
      </c>
      <c r="W9" s="4">
        <f>IF(COUNT(D6:D40)=0,"",MAX(D6:D40))</f>
        <v/>
      </c>
      <c r="X9" s="4">
        <f>IFERROR(IF(OR(V9="",W9=""),"",W9-V9),"")</f>
        <v/>
      </c>
    </row>
    <row r="10">
      <c r="A10" s="4" t="n">
        <v>5</v>
      </c>
      <c r="B10" s="4">
        <f>IF(Royxat!B6="","",Royxat!B6)</f>
        <v/>
      </c>
      <c r="C10" s="9">
        <f>A_kirish!AP10</f>
        <v/>
      </c>
      <c r="D10" s="9">
        <f>B_yakuniy!AP10</f>
        <v/>
      </c>
      <c r="E10" s="9">
        <f>IF(OR(C10="",D10=""),"",D10-C10)</f>
        <v/>
      </c>
      <c r="F10" s="9">
        <f>IF(OR(C10="",D10=""),"",IF(C10&gt;=100,"—",ROUND((D10-C10)/(100-C10),2)))</f>
        <v/>
      </c>
      <c r="G10" s="9">
        <f>A_kirish!AQ10</f>
        <v/>
      </c>
      <c r="H10" s="9">
        <f>B_yakuniy!AQ10</f>
        <v/>
      </c>
      <c r="I10" s="9">
        <f>IF(OR(G10="",H10=""),"",IF(MATCH(H10,Darajalar!$A$2:$A$5,0)&lt;MATCH(G10,Darajalar!$A$2:$A$5,0),"↑",IF(MATCH(H10,Darajalar!$A$2:$A$5,0)=MATCH(G10,Darajalar!$A$2:$A$5,0),"=","↓")))</f>
        <v/>
      </c>
      <c r="J10" s="9">
        <f>IF(E10="","",IF(ABS(E10)&lt;=7,"o‘zgarishsiz (±2 savol)",IF(E10&gt;0,"o‘sdi","pasaydi")))</f>
        <v/>
      </c>
      <c r="K10" s="9">
        <f>A_kirish!AM10</f>
        <v/>
      </c>
      <c r="L10" s="9">
        <f>B_yakuniy!AM10</f>
        <v/>
      </c>
      <c r="M10" s="9">
        <f>A_kirish!AN10</f>
        <v/>
      </c>
      <c r="N10" s="9">
        <f>B_yakuniy!AN10</f>
        <v/>
      </c>
      <c r="O10" s="9">
        <f>Amaliy!J10</f>
        <v/>
      </c>
      <c r="P10" s="9">
        <f>Amaliy!R10</f>
        <v/>
      </c>
      <c r="Q10" s="9">
        <f>A_kirish!AT10</f>
        <v/>
      </c>
      <c r="R10" s="4" t="n"/>
      <c r="S10" s="4" t="n"/>
      <c r="U10" s="4" t="inlineStr">
        <is>
          <t>Tayanch % (S1–S3)</t>
        </is>
      </c>
      <c r="V10" s="4">
        <f>IFERROR(ROUND(AVERAGE(K6:K40),1),"")</f>
        <v/>
      </c>
      <c r="W10" s="4">
        <f>IFERROR(ROUND(AVERAGE(L6:L40),1),"")</f>
        <v/>
      </c>
      <c r="X10" s="4">
        <f>IFERROR(IF(OR(V10="",W10=""),"",W10-V10),"")</f>
        <v/>
      </c>
    </row>
    <row r="11">
      <c r="A11" s="4" t="n">
        <v>6</v>
      </c>
      <c r="B11" s="4">
        <f>IF(Royxat!B7="","",Royxat!B7)</f>
        <v/>
      </c>
      <c r="C11" s="9">
        <f>A_kirish!AP11</f>
        <v/>
      </c>
      <c r="D11" s="9">
        <f>B_yakuniy!AP11</f>
        <v/>
      </c>
      <c r="E11" s="9">
        <f>IF(OR(C11="",D11=""),"",D11-C11)</f>
        <v/>
      </c>
      <c r="F11" s="9">
        <f>IF(OR(C11="",D11=""),"",IF(C11&gt;=100,"—",ROUND((D11-C11)/(100-C11),2)))</f>
        <v/>
      </c>
      <c r="G11" s="9">
        <f>A_kirish!AQ11</f>
        <v/>
      </c>
      <c r="H11" s="9">
        <f>B_yakuniy!AQ11</f>
        <v/>
      </c>
      <c r="I11" s="9">
        <f>IF(OR(G11="",H11=""),"",IF(MATCH(H11,Darajalar!$A$2:$A$5,0)&lt;MATCH(G11,Darajalar!$A$2:$A$5,0),"↑",IF(MATCH(H11,Darajalar!$A$2:$A$5,0)=MATCH(G11,Darajalar!$A$2:$A$5,0),"=","↓")))</f>
        <v/>
      </c>
      <c r="J11" s="9">
        <f>IF(E11="","",IF(ABS(E11)&lt;=7,"o‘zgarishsiz (±2 savol)",IF(E11&gt;0,"o‘sdi","pasaydi")))</f>
        <v/>
      </c>
      <c r="K11" s="9">
        <f>A_kirish!AM11</f>
        <v/>
      </c>
      <c r="L11" s="9">
        <f>B_yakuniy!AM11</f>
        <v/>
      </c>
      <c r="M11" s="9">
        <f>A_kirish!AN11</f>
        <v/>
      </c>
      <c r="N11" s="9">
        <f>B_yakuniy!AN11</f>
        <v/>
      </c>
      <c r="O11" s="9">
        <f>Amaliy!J11</f>
        <v/>
      </c>
      <c r="P11" s="9">
        <f>Amaliy!R11</f>
        <v/>
      </c>
      <c r="Q11" s="9">
        <f>A_kirish!AT11</f>
        <v/>
      </c>
      <c r="R11" s="4" t="n"/>
      <c r="S11" s="4" t="n"/>
      <c r="U11" s="4" t="inlineStr">
        <is>
          <t>7-sinf % (S4–S6)</t>
        </is>
      </c>
      <c r="V11" s="4">
        <f>IFERROR(ROUND(AVERAGE(M6:M40),1),"")</f>
        <v/>
      </c>
      <c r="W11" s="4">
        <f>IFERROR(ROUND(AVERAGE(N6:N40),1),"")</f>
        <v/>
      </c>
      <c r="X11" s="4">
        <f>IFERROR(IF(OR(V11="",W11=""),"",W11-V11),"")</f>
        <v/>
      </c>
    </row>
    <row r="12">
      <c r="A12" s="4" t="n">
        <v>7</v>
      </c>
      <c r="B12" s="4">
        <f>IF(Royxat!B8="","",Royxat!B8)</f>
        <v/>
      </c>
      <c r="C12" s="9">
        <f>A_kirish!AP12</f>
        <v/>
      </c>
      <c r="D12" s="9">
        <f>B_yakuniy!AP12</f>
        <v/>
      </c>
      <c r="E12" s="9">
        <f>IF(OR(C12="",D12=""),"",D12-C12)</f>
        <v/>
      </c>
      <c r="F12" s="9">
        <f>IF(OR(C12="",D12=""),"",IF(C12&gt;=100,"—",ROUND((D12-C12)/(100-C12),2)))</f>
        <v/>
      </c>
      <c r="G12" s="9">
        <f>A_kirish!AQ12</f>
        <v/>
      </c>
      <c r="H12" s="9">
        <f>B_yakuniy!AQ12</f>
        <v/>
      </c>
      <c r="I12" s="9">
        <f>IF(OR(G12="",H12=""),"",IF(MATCH(H12,Darajalar!$A$2:$A$5,0)&lt;MATCH(G12,Darajalar!$A$2:$A$5,0),"↑",IF(MATCH(H12,Darajalar!$A$2:$A$5,0)=MATCH(G12,Darajalar!$A$2:$A$5,0),"=","↓")))</f>
        <v/>
      </c>
      <c r="J12" s="9">
        <f>IF(E12="","",IF(ABS(E12)&lt;=7,"o‘zgarishsiz (±2 savol)",IF(E12&gt;0,"o‘sdi","pasaydi")))</f>
        <v/>
      </c>
      <c r="K12" s="9">
        <f>A_kirish!AM12</f>
        <v/>
      </c>
      <c r="L12" s="9">
        <f>B_yakuniy!AM12</f>
        <v/>
      </c>
      <c r="M12" s="9">
        <f>A_kirish!AN12</f>
        <v/>
      </c>
      <c r="N12" s="9">
        <f>B_yakuniy!AN12</f>
        <v/>
      </c>
      <c r="O12" s="9">
        <f>Amaliy!J12</f>
        <v/>
      </c>
      <c r="P12" s="9">
        <f>Amaliy!R12</f>
        <v/>
      </c>
      <c r="Q12" s="9">
        <f>A_kirish!AT12</f>
        <v/>
      </c>
      <c r="R12" s="4" t="n"/>
      <c r="S12" s="4" t="n"/>
      <c r="U12" s="4" t="inlineStr">
        <is>
          <t>Amaliy %</t>
        </is>
      </c>
      <c r="V12" s="4">
        <f>IFERROR(ROUND(AVERAGE(O6:O40),1),"")</f>
        <v/>
      </c>
      <c r="W12" s="4">
        <f>IFERROR(ROUND(AVERAGE(P6:P40),1),"")</f>
        <v/>
      </c>
      <c r="X12" s="4">
        <f>IFERROR(IF(OR(V12="",W12=""),"",W12-V12),"")</f>
        <v/>
      </c>
    </row>
    <row r="13">
      <c r="A13" s="4" t="n">
        <v>8</v>
      </c>
      <c r="B13" s="4">
        <f>IF(Royxat!B9="","",Royxat!B9)</f>
        <v/>
      </c>
      <c r="C13" s="9">
        <f>A_kirish!AP13</f>
        <v/>
      </c>
      <c r="D13" s="9">
        <f>B_yakuniy!AP13</f>
        <v/>
      </c>
      <c r="E13" s="9">
        <f>IF(OR(C13="",D13=""),"",D13-C13)</f>
        <v/>
      </c>
      <c r="F13" s="9">
        <f>IF(OR(C13="",D13=""),"",IF(C13&gt;=100,"—",ROUND((D13-C13)/(100-C13),2)))</f>
        <v/>
      </c>
      <c r="G13" s="9">
        <f>A_kirish!AQ13</f>
        <v/>
      </c>
      <c r="H13" s="9">
        <f>B_yakuniy!AQ13</f>
        <v/>
      </c>
      <c r="I13" s="9">
        <f>IF(OR(G13="",H13=""),"",IF(MATCH(H13,Darajalar!$A$2:$A$5,0)&lt;MATCH(G13,Darajalar!$A$2:$A$5,0),"↑",IF(MATCH(H13,Darajalar!$A$2:$A$5,0)=MATCH(G13,Darajalar!$A$2:$A$5,0),"=","↓")))</f>
        <v/>
      </c>
      <c r="J13" s="9">
        <f>IF(E13="","",IF(ABS(E13)&lt;=7,"o‘zgarishsiz (±2 savol)",IF(E13&gt;0,"o‘sdi","pasaydi")))</f>
        <v/>
      </c>
      <c r="K13" s="9">
        <f>A_kirish!AM13</f>
        <v/>
      </c>
      <c r="L13" s="9">
        <f>B_yakuniy!AM13</f>
        <v/>
      </c>
      <c r="M13" s="9">
        <f>A_kirish!AN13</f>
        <v/>
      </c>
      <c r="N13" s="9">
        <f>B_yakuniy!AN13</f>
        <v/>
      </c>
      <c r="O13" s="9">
        <f>Amaliy!J13</f>
        <v/>
      </c>
      <c r="P13" s="9">
        <f>Amaliy!R13</f>
        <v/>
      </c>
      <c r="Q13" s="9">
        <f>A_kirish!AT13</f>
        <v/>
      </c>
      <c r="R13" s="4" t="n"/>
      <c r="S13" s="4" t="n"/>
      <c r="U13" s="4" t="inlineStr">
        <is>
          <t>Yuqori (soni)</t>
        </is>
      </c>
      <c r="V13" s="4">
        <f>COUNTIF(G6:G40,"Yuqori")</f>
        <v/>
      </c>
      <c r="W13" s="4">
        <f>COUNTIF(H6:H40,"Yuqori")</f>
        <v/>
      </c>
      <c r="X13" s="4">
        <f>IFERROR(IF(OR(V13="",W13=""),"",W13-V13),"")</f>
        <v/>
      </c>
    </row>
    <row r="14">
      <c r="A14" s="4" t="n">
        <v>9</v>
      </c>
      <c r="B14" s="4">
        <f>IF(Royxat!B10="","",Royxat!B10)</f>
        <v/>
      </c>
      <c r="C14" s="9">
        <f>A_kirish!AP14</f>
        <v/>
      </c>
      <c r="D14" s="9">
        <f>B_yakuniy!AP14</f>
        <v/>
      </c>
      <c r="E14" s="9">
        <f>IF(OR(C14="",D14=""),"",D14-C14)</f>
        <v/>
      </c>
      <c r="F14" s="9">
        <f>IF(OR(C14="",D14=""),"",IF(C14&gt;=100,"—",ROUND((D14-C14)/(100-C14),2)))</f>
        <v/>
      </c>
      <c r="G14" s="9">
        <f>A_kirish!AQ14</f>
        <v/>
      </c>
      <c r="H14" s="9">
        <f>B_yakuniy!AQ14</f>
        <v/>
      </c>
      <c r="I14" s="9">
        <f>IF(OR(G14="",H14=""),"",IF(MATCH(H14,Darajalar!$A$2:$A$5,0)&lt;MATCH(G14,Darajalar!$A$2:$A$5,0),"↑",IF(MATCH(H14,Darajalar!$A$2:$A$5,0)=MATCH(G14,Darajalar!$A$2:$A$5,0),"=","↓")))</f>
        <v/>
      </c>
      <c r="J14" s="9">
        <f>IF(E14="","",IF(ABS(E14)&lt;=7,"o‘zgarishsiz (±2 savol)",IF(E14&gt;0,"o‘sdi","pasaydi")))</f>
        <v/>
      </c>
      <c r="K14" s="9">
        <f>A_kirish!AM14</f>
        <v/>
      </c>
      <c r="L14" s="9">
        <f>B_yakuniy!AM14</f>
        <v/>
      </c>
      <c r="M14" s="9">
        <f>A_kirish!AN14</f>
        <v/>
      </c>
      <c r="N14" s="9">
        <f>B_yakuniy!AN14</f>
        <v/>
      </c>
      <c r="O14" s="9">
        <f>Amaliy!J14</f>
        <v/>
      </c>
      <c r="P14" s="9">
        <f>Amaliy!R14</f>
        <v/>
      </c>
      <c r="Q14" s="9">
        <f>A_kirish!AT14</f>
        <v/>
      </c>
      <c r="R14" s="4" t="n"/>
      <c r="S14" s="4" t="n"/>
      <c r="U14" s="4" t="inlineStr">
        <is>
          <t>Yaxshi (soni)</t>
        </is>
      </c>
      <c r="V14" s="4">
        <f>COUNTIF(G6:G40,"Yaxshi")</f>
        <v/>
      </c>
      <c r="W14" s="4">
        <f>COUNTIF(H6:H40,"Yaxshi")</f>
        <v/>
      </c>
      <c r="X14" s="4">
        <f>IFERROR(IF(OR(V14="",W14=""),"",W14-V14),"")</f>
        <v/>
      </c>
    </row>
    <row r="15">
      <c r="A15" s="4" t="n">
        <v>10</v>
      </c>
      <c r="B15" s="4">
        <f>IF(Royxat!B11="","",Royxat!B11)</f>
        <v/>
      </c>
      <c r="C15" s="9">
        <f>A_kirish!AP15</f>
        <v/>
      </c>
      <c r="D15" s="9">
        <f>B_yakuniy!AP15</f>
        <v/>
      </c>
      <c r="E15" s="9">
        <f>IF(OR(C15="",D15=""),"",D15-C15)</f>
        <v/>
      </c>
      <c r="F15" s="9">
        <f>IF(OR(C15="",D15=""),"",IF(C15&gt;=100,"—",ROUND((D15-C15)/(100-C15),2)))</f>
        <v/>
      </c>
      <c r="G15" s="9">
        <f>A_kirish!AQ15</f>
        <v/>
      </c>
      <c r="H15" s="9">
        <f>B_yakuniy!AQ15</f>
        <v/>
      </c>
      <c r="I15" s="9">
        <f>IF(OR(G15="",H15=""),"",IF(MATCH(H15,Darajalar!$A$2:$A$5,0)&lt;MATCH(G15,Darajalar!$A$2:$A$5,0),"↑",IF(MATCH(H15,Darajalar!$A$2:$A$5,0)=MATCH(G15,Darajalar!$A$2:$A$5,0),"=","↓")))</f>
        <v/>
      </c>
      <c r="J15" s="9">
        <f>IF(E15="","",IF(ABS(E15)&lt;=7,"o‘zgarishsiz (±2 savol)",IF(E15&gt;0,"o‘sdi","pasaydi")))</f>
        <v/>
      </c>
      <c r="K15" s="9">
        <f>A_kirish!AM15</f>
        <v/>
      </c>
      <c r="L15" s="9">
        <f>B_yakuniy!AM15</f>
        <v/>
      </c>
      <c r="M15" s="9">
        <f>A_kirish!AN15</f>
        <v/>
      </c>
      <c r="N15" s="9">
        <f>B_yakuniy!AN15</f>
        <v/>
      </c>
      <c r="O15" s="9">
        <f>Amaliy!J15</f>
        <v/>
      </c>
      <c r="P15" s="9">
        <f>Amaliy!R15</f>
        <v/>
      </c>
      <c r="Q15" s="9">
        <f>A_kirish!AT15</f>
        <v/>
      </c>
      <c r="R15" s="4" t="n"/>
      <c r="S15" s="4" t="n"/>
      <c r="U15" s="4" t="inlineStr">
        <is>
          <t>O‘rta (soni)</t>
        </is>
      </c>
      <c r="V15" s="4">
        <f>COUNTIF(G6:G40,"O‘rta")</f>
        <v/>
      </c>
      <c r="W15" s="4">
        <f>COUNTIF(H6:H40,"O‘rta")</f>
        <v/>
      </c>
      <c r="X15" s="4">
        <f>IFERROR(IF(OR(V15="",W15=""),"",W15-V15),"")</f>
        <v/>
      </c>
    </row>
    <row r="16">
      <c r="A16" s="4" t="n">
        <v>11</v>
      </c>
      <c r="B16" s="4">
        <f>IF(Royxat!B12="","",Royxat!B12)</f>
        <v/>
      </c>
      <c r="C16" s="9">
        <f>A_kirish!AP16</f>
        <v/>
      </c>
      <c r="D16" s="9">
        <f>B_yakuniy!AP16</f>
        <v/>
      </c>
      <c r="E16" s="9">
        <f>IF(OR(C16="",D16=""),"",D16-C16)</f>
        <v/>
      </c>
      <c r="F16" s="9">
        <f>IF(OR(C16="",D16=""),"",IF(C16&gt;=100,"—",ROUND((D16-C16)/(100-C16),2)))</f>
        <v/>
      </c>
      <c r="G16" s="9">
        <f>A_kirish!AQ16</f>
        <v/>
      </c>
      <c r="H16" s="9">
        <f>B_yakuniy!AQ16</f>
        <v/>
      </c>
      <c r="I16" s="9">
        <f>IF(OR(G16="",H16=""),"",IF(MATCH(H16,Darajalar!$A$2:$A$5,0)&lt;MATCH(G16,Darajalar!$A$2:$A$5,0),"↑",IF(MATCH(H16,Darajalar!$A$2:$A$5,0)=MATCH(G16,Darajalar!$A$2:$A$5,0),"=","↓")))</f>
        <v/>
      </c>
      <c r="J16" s="9">
        <f>IF(E16="","",IF(ABS(E16)&lt;=7,"o‘zgarishsiz (±2 savol)",IF(E16&gt;0,"o‘sdi","pasaydi")))</f>
        <v/>
      </c>
      <c r="K16" s="9">
        <f>A_kirish!AM16</f>
        <v/>
      </c>
      <c r="L16" s="9">
        <f>B_yakuniy!AM16</f>
        <v/>
      </c>
      <c r="M16" s="9">
        <f>A_kirish!AN16</f>
        <v/>
      </c>
      <c r="N16" s="9">
        <f>B_yakuniy!AN16</f>
        <v/>
      </c>
      <c r="O16" s="9">
        <f>Amaliy!J16</f>
        <v/>
      </c>
      <c r="P16" s="9">
        <f>Amaliy!R16</f>
        <v/>
      </c>
      <c r="Q16" s="9">
        <f>A_kirish!AT16</f>
        <v/>
      </c>
      <c r="R16" s="4" t="n"/>
      <c r="S16" s="4" t="n"/>
      <c r="U16" s="4" t="inlineStr">
        <is>
          <t>Boshlang‘ich (soni)</t>
        </is>
      </c>
      <c r="V16" s="4">
        <f>COUNTIF(G6:G40,"Boshlang‘ich")</f>
        <v/>
      </c>
      <c r="W16" s="4">
        <f>COUNTIF(H6:H40,"Boshlang‘ich")</f>
        <v/>
      </c>
      <c r="X16" s="4">
        <f>IFERROR(IF(OR(V16="",W16=""),"",W16-V16),"")</f>
        <v/>
      </c>
    </row>
    <row r="17">
      <c r="A17" s="4" t="n">
        <v>12</v>
      </c>
      <c r="B17" s="4">
        <f>IF(Royxat!B13="","",Royxat!B13)</f>
        <v/>
      </c>
      <c r="C17" s="9">
        <f>A_kirish!AP17</f>
        <v/>
      </c>
      <c r="D17" s="9">
        <f>B_yakuniy!AP17</f>
        <v/>
      </c>
      <c r="E17" s="9">
        <f>IF(OR(C17="",D17=""),"",D17-C17)</f>
        <v/>
      </c>
      <c r="F17" s="9">
        <f>IF(OR(C17="",D17=""),"",IF(C17&gt;=100,"—",ROUND((D17-C17)/(100-C17),2)))</f>
        <v/>
      </c>
      <c r="G17" s="9">
        <f>A_kirish!AQ17</f>
        <v/>
      </c>
      <c r="H17" s="9">
        <f>B_yakuniy!AQ17</f>
        <v/>
      </c>
      <c r="I17" s="9">
        <f>IF(OR(G17="",H17=""),"",IF(MATCH(H17,Darajalar!$A$2:$A$5,0)&lt;MATCH(G17,Darajalar!$A$2:$A$5,0),"↑",IF(MATCH(H17,Darajalar!$A$2:$A$5,0)=MATCH(G17,Darajalar!$A$2:$A$5,0),"=","↓")))</f>
        <v/>
      </c>
      <c r="J17" s="9">
        <f>IF(E17="","",IF(ABS(E17)&lt;=7,"o‘zgarishsiz (±2 savol)",IF(E17&gt;0,"o‘sdi","pasaydi")))</f>
        <v/>
      </c>
      <c r="K17" s="9">
        <f>A_kirish!AM17</f>
        <v/>
      </c>
      <c r="L17" s="9">
        <f>B_yakuniy!AM17</f>
        <v/>
      </c>
      <c r="M17" s="9">
        <f>A_kirish!AN17</f>
        <v/>
      </c>
      <c r="N17" s="9">
        <f>B_yakuniy!AN17</f>
        <v/>
      </c>
      <c r="O17" s="9">
        <f>Amaliy!J17</f>
        <v/>
      </c>
      <c r="P17" s="9">
        <f>Amaliy!R17</f>
        <v/>
      </c>
      <c r="Q17" s="9">
        <f>A_kirish!AT17</f>
        <v/>
      </c>
      <c r="R17" s="4" t="n"/>
      <c r="S17" s="4" t="n"/>
      <c r="U17" s="4" t="inlineStr">
        <is>
          <t>7-sinfga «Mos» (soni)</t>
        </is>
      </c>
      <c r="V17" s="4">
        <f>COUNTIF(A_kirish!AS6:AS40,"Mos")</f>
        <v/>
      </c>
      <c r="W17" s="4">
        <f>COUNTIF(B_yakuniy!AS6:AS40,"Mos")</f>
        <v/>
      </c>
      <c r="X17" s="4">
        <f>IFERROR(IF(OR(V17="",W17=""),"",W17-V17),"")</f>
        <v/>
      </c>
    </row>
    <row r="18">
      <c r="A18" s="4" t="n">
        <v>13</v>
      </c>
      <c r="B18" s="4">
        <f>IF(Royxat!B14="","",Royxat!B14)</f>
        <v/>
      </c>
      <c r="C18" s="9">
        <f>A_kirish!AP18</f>
        <v/>
      </c>
      <c r="D18" s="9">
        <f>B_yakuniy!AP18</f>
        <v/>
      </c>
      <c r="E18" s="9">
        <f>IF(OR(C18="",D18=""),"",D18-C18)</f>
        <v/>
      </c>
      <c r="F18" s="9">
        <f>IF(OR(C18="",D18=""),"",IF(C18&gt;=100,"—",ROUND((D18-C18)/(100-C18),2)))</f>
        <v/>
      </c>
      <c r="G18" s="9">
        <f>A_kirish!AQ18</f>
        <v/>
      </c>
      <c r="H18" s="9">
        <f>B_yakuniy!AQ18</f>
        <v/>
      </c>
      <c r="I18" s="9">
        <f>IF(OR(G18="",H18=""),"",IF(MATCH(H18,Darajalar!$A$2:$A$5,0)&lt;MATCH(G18,Darajalar!$A$2:$A$5,0),"↑",IF(MATCH(H18,Darajalar!$A$2:$A$5,0)=MATCH(G18,Darajalar!$A$2:$A$5,0),"=","↓")))</f>
        <v/>
      </c>
      <c r="J18" s="9">
        <f>IF(E18="","",IF(ABS(E18)&lt;=7,"o‘zgarishsiz (±2 savol)",IF(E18&gt;0,"o‘sdi","pasaydi")))</f>
        <v/>
      </c>
      <c r="K18" s="9">
        <f>A_kirish!AM18</f>
        <v/>
      </c>
      <c r="L18" s="9">
        <f>B_yakuniy!AM18</f>
        <v/>
      </c>
      <c r="M18" s="9">
        <f>A_kirish!AN18</f>
        <v/>
      </c>
      <c r="N18" s="9">
        <f>B_yakuniy!AN18</f>
        <v/>
      </c>
      <c r="O18" s="9">
        <f>Amaliy!J18</f>
        <v/>
      </c>
      <c r="P18" s="9">
        <f>Amaliy!R18</f>
        <v/>
      </c>
      <c r="Q18" s="9">
        <f>A_kirish!AT18</f>
        <v/>
      </c>
      <c r="R18" s="4" t="n"/>
      <c r="S18" s="4" t="n"/>
      <c r="U18" s="4" t="n"/>
    </row>
    <row r="19">
      <c r="A19" s="4" t="n">
        <v>14</v>
      </c>
      <c r="B19" s="4">
        <f>IF(Royxat!B15="","",Royxat!B15)</f>
        <v/>
      </c>
      <c r="C19" s="9">
        <f>A_kirish!AP19</f>
        <v/>
      </c>
      <c r="D19" s="9">
        <f>B_yakuniy!AP19</f>
        <v/>
      </c>
      <c r="E19" s="9">
        <f>IF(OR(C19="",D19=""),"",D19-C19)</f>
        <v/>
      </c>
      <c r="F19" s="9">
        <f>IF(OR(C19="",D19=""),"",IF(C19&gt;=100,"—",ROUND((D19-C19)/(100-C19),2)))</f>
        <v/>
      </c>
      <c r="G19" s="9">
        <f>A_kirish!AQ19</f>
        <v/>
      </c>
      <c r="H19" s="9">
        <f>B_yakuniy!AQ19</f>
        <v/>
      </c>
      <c r="I19" s="9">
        <f>IF(OR(G19="",H19=""),"",IF(MATCH(H19,Darajalar!$A$2:$A$5,0)&lt;MATCH(G19,Darajalar!$A$2:$A$5,0),"↑",IF(MATCH(H19,Darajalar!$A$2:$A$5,0)=MATCH(G19,Darajalar!$A$2:$A$5,0),"=","↓")))</f>
        <v/>
      </c>
      <c r="J19" s="9">
        <f>IF(E19="","",IF(ABS(E19)&lt;=7,"o‘zgarishsiz (±2 savol)",IF(E19&gt;0,"o‘sdi","pasaydi")))</f>
        <v/>
      </c>
      <c r="K19" s="9">
        <f>A_kirish!AM19</f>
        <v/>
      </c>
      <c r="L19" s="9">
        <f>B_yakuniy!AM19</f>
        <v/>
      </c>
      <c r="M19" s="9">
        <f>A_kirish!AN19</f>
        <v/>
      </c>
      <c r="N19" s="9">
        <f>B_yakuniy!AN19</f>
        <v/>
      </c>
      <c r="O19" s="9">
        <f>Amaliy!J19</f>
        <v/>
      </c>
      <c r="P19" s="9">
        <f>Amaliy!R19</f>
        <v/>
      </c>
      <c r="Q19" s="9">
        <f>A_kirish!AT19</f>
        <v/>
      </c>
      <c r="R19" s="4" t="n"/>
      <c r="S19" s="4" t="n"/>
      <c r="U19" s="13" t="inlineStr">
        <is>
          <t>O‘SISH (faqat ikkala testda qatnashganlar)</t>
        </is>
      </c>
    </row>
    <row r="20">
      <c r="A20" s="4" t="n">
        <v>15</v>
      </c>
      <c r="B20" s="4">
        <f>IF(Royxat!B16="","",Royxat!B16)</f>
        <v/>
      </c>
      <c r="C20" s="9">
        <f>A_kirish!AP20</f>
        <v/>
      </c>
      <c r="D20" s="9">
        <f>B_yakuniy!AP20</f>
        <v/>
      </c>
      <c r="E20" s="9">
        <f>IF(OR(C20="",D20=""),"",D20-C20)</f>
        <v/>
      </c>
      <c r="F20" s="9">
        <f>IF(OR(C20="",D20=""),"",IF(C20&gt;=100,"—",ROUND((D20-C20)/(100-C20),2)))</f>
        <v/>
      </c>
      <c r="G20" s="9">
        <f>A_kirish!AQ20</f>
        <v/>
      </c>
      <c r="H20" s="9">
        <f>B_yakuniy!AQ20</f>
        <v/>
      </c>
      <c r="I20" s="9">
        <f>IF(OR(G20="",H20=""),"",IF(MATCH(H20,Darajalar!$A$2:$A$5,0)&lt;MATCH(G20,Darajalar!$A$2:$A$5,0),"↑",IF(MATCH(H20,Darajalar!$A$2:$A$5,0)=MATCH(G20,Darajalar!$A$2:$A$5,0),"=","↓")))</f>
        <v/>
      </c>
      <c r="J20" s="9">
        <f>IF(E20="","",IF(ABS(E20)&lt;=7,"o‘zgarishsiz (±2 savol)",IF(E20&gt;0,"o‘sdi","pasaydi")))</f>
        <v/>
      </c>
      <c r="K20" s="9">
        <f>A_kirish!AM20</f>
        <v/>
      </c>
      <c r="L20" s="9">
        <f>B_yakuniy!AM20</f>
        <v/>
      </c>
      <c r="M20" s="9">
        <f>A_kirish!AN20</f>
        <v/>
      </c>
      <c r="N20" s="9">
        <f>B_yakuniy!AN20</f>
        <v/>
      </c>
      <c r="O20" s="9">
        <f>Amaliy!J20</f>
        <v/>
      </c>
      <c r="P20" s="9">
        <f>Amaliy!R20</f>
        <v/>
      </c>
      <c r="Q20" s="9">
        <f>A_kirish!AT20</f>
        <v/>
      </c>
      <c r="R20" s="4" t="n"/>
      <c r="S20" s="4" t="n"/>
      <c r="U20" s="4" t="inlineStr">
        <is>
          <t>Juftliklar soni</t>
        </is>
      </c>
      <c r="V20" s="4">
        <f>SUMPRODUCT(--(C6:C40&lt;&gt;""),--(D6:D40&lt;&gt;""))</f>
        <v/>
      </c>
    </row>
    <row r="21">
      <c r="A21" s="4" t="n">
        <v>16</v>
      </c>
      <c r="B21" s="4">
        <f>IF(Royxat!B17="","",Royxat!B17)</f>
        <v/>
      </c>
      <c r="C21" s="9">
        <f>A_kirish!AP21</f>
        <v/>
      </c>
      <c r="D21" s="9">
        <f>B_yakuniy!AP21</f>
        <v/>
      </c>
      <c r="E21" s="9">
        <f>IF(OR(C21="",D21=""),"",D21-C21)</f>
        <v/>
      </c>
      <c r="F21" s="9">
        <f>IF(OR(C21="",D21=""),"",IF(C21&gt;=100,"—",ROUND((D21-C21)/(100-C21),2)))</f>
        <v/>
      </c>
      <c r="G21" s="9">
        <f>A_kirish!AQ21</f>
        <v/>
      </c>
      <c r="H21" s="9">
        <f>B_yakuniy!AQ21</f>
        <v/>
      </c>
      <c r="I21" s="9">
        <f>IF(OR(G21="",H21=""),"",IF(MATCH(H21,Darajalar!$A$2:$A$5,0)&lt;MATCH(G21,Darajalar!$A$2:$A$5,0),"↑",IF(MATCH(H21,Darajalar!$A$2:$A$5,0)=MATCH(G21,Darajalar!$A$2:$A$5,0),"=","↓")))</f>
        <v/>
      </c>
      <c r="J21" s="9">
        <f>IF(E21="","",IF(ABS(E21)&lt;=7,"o‘zgarishsiz (±2 savol)",IF(E21&gt;0,"o‘sdi","pasaydi")))</f>
        <v/>
      </c>
      <c r="K21" s="9">
        <f>A_kirish!AM21</f>
        <v/>
      </c>
      <c r="L21" s="9">
        <f>B_yakuniy!AM21</f>
        <v/>
      </c>
      <c r="M21" s="9">
        <f>A_kirish!AN21</f>
        <v/>
      </c>
      <c r="N21" s="9">
        <f>B_yakuniy!AN21</f>
        <v/>
      </c>
      <c r="O21" s="9">
        <f>Amaliy!J21</f>
        <v/>
      </c>
      <c r="P21" s="9">
        <f>Amaliy!R21</f>
        <v/>
      </c>
      <c r="Q21" s="9">
        <f>A_kirish!AT21</f>
        <v/>
      </c>
      <c r="R21" s="4" t="n"/>
      <c r="S21" s="4" t="n"/>
      <c r="U21" s="4" t="inlineStr">
        <is>
          <t>Sinf g — jami</t>
        </is>
      </c>
      <c r="V21" s="13">
        <f>IFERROR(ROUND((SUMPRODUCT(--(C6:C40&lt;&gt;""),--(D6:D40&lt;&gt;""),D6:D40)-SUMPRODUCT(--(C6:C40&lt;&gt;""),--(D6:D40&lt;&gt;""),C6:C40))/(SUMPRODUCT(--(C6:C40&lt;&gt;""),--(D6:D40&lt;&gt;""))*100-SUMPRODUCT(--(C6:C40&lt;&gt;""),--(D6:D40&lt;&gt;""),C6:C40)),2),"")</f>
        <v/>
      </c>
    </row>
    <row r="22">
      <c r="A22" s="4" t="n">
        <v>17</v>
      </c>
      <c r="B22" s="4">
        <f>IF(Royxat!B18="","",Royxat!B18)</f>
        <v/>
      </c>
      <c r="C22" s="9">
        <f>A_kirish!AP22</f>
        <v/>
      </c>
      <c r="D22" s="9">
        <f>B_yakuniy!AP22</f>
        <v/>
      </c>
      <c r="E22" s="9">
        <f>IF(OR(C22="",D22=""),"",D22-C22)</f>
        <v/>
      </c>
      <c r="F22" s="9">
        <f>IF(OR(C22="",D22=""),"",IF(C22&gt;=100,"—",ROUND((D22-C22)/(100-C22),2)))</f>
        <v/>
      </c>
      <c r="G22" s="9">
        <f>A_kirish!AQ22</f>
        <v/>
      </c>
      <c r="H22" s="9">
        <f>B_yakuniy!AQ22</f>
        <v/>
      </c>
      <c r="I22" s="9">
        <f>IF(OR(G22="",H22=""),"",IF(MATCH(H22,Darajalar!$A$2:$A$5,0)&lt;MATCH(G22,Darajalar!$A$2:$A$5,0),"↑",IF(MATCH(H22,Darajalar!$A$2:$A$5,0)=MATCH(G22,Darajalar!$A$2:$A$5,0),"=","↓")))</f>
        <v/>
      </c>
      <c r="J22" s="9">
        <f>IF(E22="","",IF(ABS(E22)&lt;=7,"o‘zgarishsiz (±2 savol)",IF(E22&gt;0,"o‘sdi","pasaydi")))</f>
        <v/>
      </c>
      <c r="K22" s="9">
        <f>A_kirish!AM22</f>
        <v/>
      </c>
      <c r="L22" s="9">
        <f>B_yakuniy!AM22</f>
        <v/>
      </c>
      <c r="M22" s="9">
        <f>A_kirish!AN22</f>
        <v/>
      </c>
      <c r="N22" s="9">
        <f>B_yakuniy!AN22</f>
        <v/>
      </c>
      <c r="O22" s="9">
        <f>Amaliy!J22</f>
        <v/>
      </c>
      <c r="P22" s="9">
        <f>Amaliy!R22</f>
        <v/>
      </c>
      <c r="Q22" s="9">
        <f>A_kirish!AT22</f>
        <v/>
      </c>
      <c r="R22" s="4" t="n"/>
      <c r="S22" s="4" t="n"/>
      <c r="U22" s="4" t="inlineStr">
        <is>
          <t>Sinf g — tayanch (S1–S3)</t>
        </is>
      </c>
      <c r="V22" s="13">
        <f>IFERROR(ROUND((SUMPRODUCT(--(K6:K40&lt;&gt;""),--(L6:L40&lt;&gt;""),L6:L40)-SUMPRODUCT(--(K6:K40&lt;&gt;""),--(L6:L40&lt;&gt;""),K6:K40))/(SUMPRODUCT(--(K6:K40&lt;&gt;""),--(L6:L40&lt;&gt;""))*100-SUMPRODUCT(--(K6:K40&lt;&gt;""),--(L6:L40&lt;&gt;""),K6:K40)),2),"")</f>
        <v/>
      </c>
    </row>
    <row r="23">
      <c r="A23" s="4" t="n">
        <v>18</v>
      </c>
      <c r="B23" s="4">
        <f>IF(Royxat!B19="","",Royxat!B19)</f>
        <v/>
      </c>
      <c r="C23" s="9">
        <f>A_kirish!AP23</f>
        <v/>
      </c>
      <c r="D23" s="9">
        <f>B_yakuniy!AP23</f>
        <v/>
      </c>
      <c r="E23" s="9">
        <f>IF(OR(C23="",D23=""),"",D23-C23)</f>
        <v/>
      </c>
      <c r="F23" s="9">
        <f>IF(OR(C23="",D23=""),"",IF(C23&gt;=100,"—",ROUND((D23-C23)/(100-C23),2)))</f>
        <v/>
      </c>
      <c r="G23" s="9">
        <f>A_kirish!AQ23</f>
        <v/>
      </c>
      <c r="H23" s="9">
        <f>B_yakuniy!AQ23</f>
        <v/>
      </c>
      <c r="I23" s="9">
        <f>IF(OR(G23="",H23=""),"",IF(MATCH(H23,Darajalar!$A$2:$A$5,0)&lt;MATCH(G23,Darajalar!$A$2:$A$5,0),"↑",IF(MATCH(H23,Darajalar!$A$2:$A$5,0)=MATCH(G23,Darajalar!$A$2:$A$5,0),"=","↓")))</f>
        <v/>
      </c>
      <c r="J23" s="9">
        <f>IF(E23="","",IF(ABS(E23)&lt;=7,"o‘zgarishsiz (±2 savol)",IF(E23&gt;0,"o‘sdi","pasaydi")))</f>
        <v/>
      </c>
      <c r="K23" s="9">
        <f>A_kirish!AM23</f>
        <v/>
      </c>
      <c r="L23" s="9">
        <f>B_yakuniy!AM23</f>
        <v/>
      </c>
      <c r="M23" s="9">
        <f>A_kirish!AN23</f>
        <v/>
      </c>
      <c r="N23" s="9">
        <f>B_yakuniy!AN23</f>
        <v/>
      </c>
      <c r="O23" s="9">
        <f>Amaliy!J23</f>
        <v/>
      </c>
      <c r="P23" s="9">
        <f>Amaliy!R23</f>
        <v/>
      </c>
      <c r="Q23" s="9">
        <f>A_kirish!AT23</f>
        <v/>
      </c>
      <c r="R23" s="4" t="n"/>
      <c r="S23" s="4" t="n"/>
      <c r="U23" s="4" t="inlineStr">
        <is>
          <t>Sinf g — 7-sinf (S4–S6) ★ asosiy</t>
        </is>
      </c>
      <c r="V23" s="13">
        <f>IFERROR(ROUND((SUMPRODUCT(--(M6:M40&lt;&gt;""),--(N6:N40&lt;&gt;""),N6:N40)-SUMPRODUCT(--(M6:M40&lt;&gt;""),--(N6:N40&lt;&gt;""),M6:M40))/(SUMPRODUCT(--(M6:M40&lt;&gt;""),--(N6:N40&lt;&gt;""))*100-SUMPRODUCT(--(M6:M40&lt;&gt;""),--(N6:N40&lt;&gt;""),M6:M40)),2),"")</f>
        <v/>
      </c>
    </row>
    <row r="24">
      <c r="A24" s="4" t="n">
        <v>19</v>
      </c>
      <c r="B24" s="4">
        <f>IF(Royxat!B20="","",Royxat!B20)</f>
        <v/>
      </c>
      <c r="C24" s="9">
        <f>A_kirish!AP24</f>
        <v/>
      </c>
      <c r="D24" s="9">
        <f>B_yakuniy!AP24</f>
        <v/>
      </c>
      <c r="E24" s="9">
        <f>IF(OR(C24="",D24=""),"",D24-C24)</f>
        <v/>
      </c>
      <c r="F24" s="9">
        <f>IF(OR(C24="",D24=""),"",IF(C24&gt;=100,"—",ROUND((D24-C24)/(100-C24),2)))</f>
        <v/>
      </c>
      <c r="G24" s="9">
        <f>A_kirish!AQ24</f>
        <v/>
      </c>
      <c r="H24" s="9">
        <f>B_yakuniy!AQ24</f>
        <v/>
      </c>
      <c r="I24" s="9">
        <f>IF(OR(G24="",H24=""),"",IF(MATCH(H24,Darajalar!$A$2:$A$5,0)&lt;MATCH(G24,Darajalar!$A$2:$A$5,0),"↑",IF(MATCH(H24,Darajalar!$A$2:$A$5,0)=MATCH(G24,Darajalar!$A$2:$A$5,0),"=","↓")))</f>
        <v/>
      </c>
      <c r="J24" s="9">
        <f>IF(E24="","",IF(ABS(E24)&lt;=7,"o‘zgarishsiz (±2 savol)",IF(E24&gt;0,"o‘sdi","pasaydi")))</f>
        <v/>
      </c>
      <c r="K24" s="9">
        <f>A_kirish!AM24</f>
        <v/>
      </c>
      <c r="L24" s="9">
        <f>B_yakuniy!AM24</f>
        <v/>
      </c>
      <c r="M24" s="9">
        <f>A_kirish!AN24</f>
        <v/>
      </c>
      <c r="N24" s="9">
        <f>B_yakuniy!AN24</f>
        <v/>
      </c>
      <c r="O24" s="9">
        <f>Amaliy!J24</f>
        <v/>
      </c>
      <c r="P24" s="9">
        <f>Amaliy!R24</f>
        <v/>
      </c>
      <c r="Q24" s="9">
        <f>A_kirish!AT24</f>
        <v/>
      </c>
      <c r="R24" s="4" t="n"/>
      <c r="S24" s="4" t="n"/>
      <c r="U24" s="4" t="inlineStr">
        <is>
          <t>g talqini (jami)</t>
        </is>
      </c>
      <c r="V24" s="4">
        <f>IF(V21="","",IF(V21&gt;=0.7,"Yuqori o‘sish",IF(V21&gt;=0.3,"O‘rtacha o‘sish",IF(V21&gt;=0,"Past o‘sish","Pasaygan"))))</f>
        <v/>
      </c>
    </row>
    <row r="25">
      <c r="A25" s="4" t="n">
        <v>20</v>
      </c>
      <c r="B25" s="4">
        <f>IF(Royxat!B21="","",Royxat!B21)</f>
        <v/>
      </c>
      <c r="C25" s="9">
        <f>A_kirish!AP25</f>
        <v/>
      </c>
      <c r="D25" s="9">
        <f>B_yakuniy!AP25</f>
        <v/>
      </c>
      <c r="E25" s="9">
        <f>IF(OR(C25="",D25=""),"",D25-C25)</f>
        <v/>
      </c>
      <c r="F25" s="9">
        <f>IF(OR(C25="",D25=""),"",IF(C25&gt;=100,"—",ROUND((D25-C25)/(100-C25),2)))</f>
        <v/>
      </c>
      <c r="G25" s="9">
        <f>A_kirish!AQ25</f>
        <v/>
      </c>
      <c r="H25" s="9">
        <f>B_yakuniy!AQ25</f>
        <v/>
      </c>
      <c r="I25" s="9">
        <f>IF(OR(G25="",H25=""),"",IF(MATCH(H25,Darajalar!$A$2:$A$5,0)&lt;MATCH(G25,Darajalar!$A$2:$A$5,0),"↑",IF(MATCH(H25,Darajalar!$A$2:$A$5,0)=MATCH(G25,Darajalar!$A$2:$A$5,0),"=","↓")))</f>
        <v/>
      </c>
      <c r="J25" s="9">
        <f>IF(E25="","",IF(ABS(E25)&lt;=7,"o‘zgarishsiz (±2 savol)",IF(E25&gt;0,"o‘sdi","pasaydi")))</f>
        <v/>
      </c>
      <c r="K25" s="9">
        <f>A_kirish!AM25</f>
        <v/>
      </c>
      <c r="L25" s="9">
        <f>B_yakuniy!AM25</f>
        <v/>
      </c>
      <c r="M25" s="9">
        <f>A_kirish!AN25</f>
        <v/>
      </c>
      <c r="N25" s="9">
        <f>B_yakuniy!AN25</f>
        <v/>
      </c>
      <c r="O25" s="9">
        <f>Amaliy!J25</f>
        <v/>
      </c>
      <c r="P25" s="9">
        <f>Amaliy!R25</f>
        <v/>
      </c>
      <c r="Q25" s="9">
        <f>A_kirish!AT25</f>
        <v/>
      </c>
      <c r="R25" s="4" t="n"/>
      <c r="S25" s="4" t="n"/>
      <c r="U25" s="4" t="inlineStr">
        <is>
          <t>Daraja ko‘tarilgan</t>
        </is>
      </c>
      <c r="V25" s="4">
        <f>COUNTIF(I6:I40,"↑")</f>
        <v/>
      </c>
    </row>
    <row r="26">
      <c r="A26" s="4" t="n">
        <v>21</v>
      </c>
      <c r="B26" s="4">
        <f>IF(Royxat!B22="","",Royxat!B22)</f>
        <v/>
      </c>
      <c r="C26" s="9">
        <f>A_kirish!AP26</f>
        <v/>
      </c>
      <c r="D26" s="9">
        <f>B_yakuniy!AP26</f>
        <v/>
      </c>
      <c r="E26" s="9">
        <f>IF(OR(C26="",D26=""),"",D26-C26)</f>
        <v/>
      </c>
      <c r="F26" s="9">
        <f>IF(OR(C26="",D26=""),"",IF(C26&gt;=100,"—",ROUND((D26-C26)/(100-C26),2)))</f>
        <v/>
      </c>
      <c r="G26" s="9">
        <f>A_kirish!AQ26</f>
        <v/>
      </c>
      <c r="H26" s="9">
        <f>B_yakuniy!AQ26</f>
        <v/>
      </c>
      <c r="I26" s="9">
        <f>IF(OR(G26="",H26=""),"",IF(MATCH(H26,Darajalar!$A$2:$A$5,0)&lt;MATCH(G26,Darajalar!$A$2:$A$5,0),"↑",IF(MATCH(H26,Darajalar!$A$2:$A$5,0)=MATCH(G26,Darajalar!$A$2:$A$5,0),"=","↓")))</f>
        <v/>
      </c>
      <c r="J26" s="9">
        <f>IF(E26="","",IF(ABS(E26)&lt;=7,"o‘zgarishsiz (±2 savol)",IF(E26&gt;0,"o‘sdi","pasaydi")))</f>
        <v/>
      </c>
      <c r="K26" s="9">
        <f>A_kirish!AM26</f>
        <v/>
      </c>
      <c r="L26" s="9">
        <f>B_yakuniy!AM26</f>
        <v/>
      </c>
      <c r="M26" s="9">
        <f>A_kirish!AN26</f>
        <v/>
      </c>
      <c r="N26" s="9">
        <f>B_yakuniy!AN26</f>
        <v/>
      </c>
      <c r="O26" s="9">
        <f>Amaliy!J26</f>
        <v/>
      </c>
      <c r="P26" s="9">
        <f>Amaliy!R26</f>
        <v/>
      </c>
      <c r="Q26" s="9">
        <f>A_kirish!AT26</f>
        <v/>
      </c>
      <c r="R26" s="4" t="n"/>
      <c r="S26" s="4" t="n"/>
      <c r="U26" s="4" t="inlineStr">
        <is>
          <t>Daraja o‘zgarmagan</t>
        </is>
      </c>
      <c r="V26" s="4">
        <f>COUNTIF(I6:I40,"=")</f>
        <v/>
      </c>
    </row>
    <row r="27">
      <c r="A27" s="4" t="n">
        <v>22</v>
      </c>
      <c r="B27" s="4">
        <f>IF(Royxat!B23="","",Royxat!B23)</f>
        <v/>
      </c>
      <c r="C27" s="9">
        <f>A_kirish!AP27</f>
        <v/>
      </c>
      <c r="D27" s="9">
        <f>B_yakuniy!AP27</f>
        <v/>
      </c>
      <c r="E27" s="9">
        <f>IF(OR(C27="",D27=""),"",D27-C27)</f>
        <v/>
      </c>
      <c r="F27" s="9">
        <f>IF(OR(C27="",D27=""),"",IF(C27&gt;=100,"—",ROUND((D27-C27)/(100-C27),2)))</f>
        <v/>
      </c>
      <c r="G27" s="9">
        <f>A_kirish!AQ27</f>
        <v/>
      </c>
      <c r="H27" s="9">
        <f>B_yakuniy!AQ27</f>
        <v/>
      </c>
      <c r="I27" s="9">
        <f>IF(OR(G27="",H27=""),"",IF(MATCH(H27,Darajalar!$A$2:$A$5,0)&lt;MATCH(G27,Darajalar!$A$2:$A$5,0),"↑",IF(MATCH(H27,Darajalar!$A$2:$A$5,0)=MATCH(G27,Darajalar!$A$2:$A$5,0),"=","↓")))</f>
        <v/>
      </c>
      <c r="J27" s="9">
        <f>IF(E27="","",IF(ABS(E27)&lt;=7,"o‘zgarishsiz (±2 savol)",IF(E27&gt;0,"o‘sdi","pasaydi")))</f>
        <v/>
      </c>
      <c r="K27" s="9">
        <f>A_kirish!AM27</f>
        <v/>
      </c>
      <c r="L27" s="9">
        <f>B_yakuniy!AM27</f>
        <v/>
      </c>
      <c r="M27" s="9">
        <f>A_kirish!AN27</f>
        <v/>
      </c>
      <c r="N27" s="9">
        <f>B_yakuniy!AN27</f>
        <v/>
      </c>
      <c r="O27" s="9">
        <f>Amaliy!J27</f>
        <v/>
      </c>
      <c r="P27" s="9">
        <f>Amaliy!R27</f>
        <v/>
      </c>
      <c r="Q27" s="9">
        <f>A_kirish!AT27</f>
        <v/>
      </c>
      <c r="R27" s="4" t="n"/>
      <c r="S27" s="4" t="n"/>
      <c r="U27" s="4" t="inlineStr">
        <is>
          <t>Daraja tushgan</t>
        </is>
      </c>
      <c r="V27" s="4">
        <f>COUNTIF(I6:I40,"↓")</f>
        <v/>
      </c>
    </row>
    <row r="28">
      <c r="A28" s="4" t="n">
        <v>23</v>
      </c>
      <c r="B28" s="4">
        <f>IF(Royxat!B24="","",Royxat!B24)</f>
        <v/>
      </c>
      <c r="C28" s="9">
        <f>A_kirish!AP28</f>
        <v/>
      </c>
      <c r="D28" s="9">
        <f>B_yakuniy!AP28</f>
        <v/>
      </c>
      <c r="E28" s="9">
        <f>IF(OR(C28="",D28=""),"",D28-C28)</f>
        <v/>
      </c>
      <c r="F28" s="9">
        <f>IF(OR(C28="",D28=""),"",IF(C28&gt;=100,"—",ROUND((D28-C28)/(100-C28),2)))</f>
        <v/>
      </c>
      <c r="G28" s="9">
        <f>A_kirish!AQ28</f>
        <v/>
      </c>
      <c r="H28" s="9">
        <f>B_yakuniy!AQ28</f>
        <v/>
      </c>
      <c r="I28" s="9">
        <f>IF(OR(G28="",H28=""),"",IF(MATCH(H28,Darajalar!$A$2:$A$5,0)&lt;MATCH(G28,Darajalar!$A$2:$A$5,0),"↑",IF(MATCH(H28,Darajalar!$A$2:$A$5,0)=MATCH(G28,Darajalar!$A$2:$A$5,0),"=","↓")))</f>
        <v/>
      </c>
      <c r="J28" s="9">
        <f>IF(E28="","",IF(ABS(E28)&lt;=7,"o‘zgarishsiz (±2 savol)",IF(E28&gt;0,"o‘sdi","pasaydi")))</f>
        <v/>
      </c>
      <c r="K28" s="9">
        <f>A_kirish!AM28</f>
        <v/>
      </c>
      <c r="L28" s="9">
        <f>B_yakuniy!AM28</f>
        <v/>
      </c>
      <c r="M28" s="9">
        <f>A_kirish!AN28</f>
        <v/>
      </c>
      <c r="N28" s="9">
        <f>B_yakuniy!AN28</f>
        <v/>
      </c>
      <c r="O28" s="9">
        <f>Amaliy!J28</f>
        <v/>
      </c>
      <c r="P28" s="9">
        <f>Amaliy!R28</f>
        <v/>
      </c>
      <c r="Q28" s="9">
        <f>A_kirish!AT28</f>
        <v/>
      </c>
      <c r="R28" s="4" t="n"/>
      <c r="S28" s="4" t="n"/>
      <c r="U28" s="4" t="n"/>
    </row>
    <row r="29">
      <c r="A29" s="4" t="n">
        <v>24</v>
      </c>
      <c r="B29" s="4">
        <f>IF(Royxat!B25="","",Royxat!B25)</f>
        <v/>
      </c>
      <c r="C29" s="9">
        <f>A_kirish!AP29</f>
        <v/>
      </c>
      <c r="D29" s="9">
        <f>B_yakuniy!AP29</f>
        <v/>
      </c>
      <c r="E29" s="9">
        <f>IF(OR(C29="",D29=""),"",D29-C29)</f>
        <v/>
      </c>
      <c r="F29" s="9">
        <f>IF(OR(C29="",D29=""),"",IF(C29&gt;=100,"—",ROUND((D29-C29)/(100-C29),2)))</f>
        <v/>
      </c>
      <c r="G29" s="9">
        <f>A_kirish!AQ29</f>
        <v/>
      </c>
      <c r="H29" s="9">
        <f>B_yakuniy!AQ29</f>
        <v/>
      </c>
      <c r="I29" s="9">
        <f>IF(OR(G29="",H29=""),"",IF(MATCH(H29,Darajalar!$A$2:$A$5,0)&lt;MATCH(G29,Darajalar!$A$2:$A$5,0),"↑",IF(MATCH(H29,Darajalar!$A$2:$A$5,0)=MATCH(G29,Darajalar!$A$2:$A$5,0),"=","↓")))</f>
        <v/>
      </c>
      <c r="J29" s="9">
        <f>IF(E29="","",IF(ABS(E29)&lt;=7,"o‘zgarishsiz (±2 savol)",IF(E29&gt;0,"o‘sdi","pasaydi")))</f>
        <v/>
      </c>
      <c r="K29" s="9">
        <f>A_kirish!AM29</f>
        <v/>
      </c>
      <c r="L29" s="9">
        <f>B_yakuniy!AM29</f>
        <v/>
      </c>
      <c r="M29" s="9">
        <f>A_kirish!AN29</f>
        <v/>
      </c>
      <c r="N29" s="9">
        <f>B_yakuniy!AN29</f>
        <v/>
      </c>
      <c r="O29" s="9">
        <f>Amaliy!J29</f>
        <v/>
      </c>
      <c r="P29" s="9">
        <f>Amaliy!R29</f>
        <v/>
      </c>
      <c r="Q29" s="9">
        <f>A_kirish!AT29</f>
        <v/>
      </c>
      <c r="R29" s="4" t="n"/>
      <c r="S29" s="4" t="n"/>
      <c r="U29" s="3" t="inlineStr">
        <is>
          <t>Bo‘lim</t>
        </is>
      </c>
      <c r="V29" s="3" t="inlineStr">
        <is>
          <t>Oktabr %</t>
        </is>
      </c>
      <c r="W29" s="3" t="inlineStr">
        <is>
          <t>Yanvar %</t>
        </is>
      </c>
      <c r="X29" s="3" t="inlineStr">
        <is>
          <t>O‘sish</t>
        </is>
      </c>
    </row>
    <row r="30">
      <c r="A30" s="4" t="n">
        <v>25</v>
      </c>
      <c r="B30" s="4">
        <f>IF(Royxat!B26="","",Royxat!B26)</f>
        <v/>
      </c>
      <c r="C30" s="9">
        <f>A_kirish!AP30</f>
        <v/>
      </c>
      <c r="D30" s="9">
        <f>B_yakuniy!AP30</f>
        <v/>
      </c>
      <c r="E30" s="9">
        <f>IF(OR(C30="",D30=""),"",D30-C30)</f>
        <v/>
      </c>
      <c r="F30" s="9">
        <f>IF(OR(C30="",D30=""),"",IF(C30&gt;=100,"—",ROUND((D30-C30)/(100-C30),2)))</f>
        <v/>
      </c>
      <c r="G30" s="9">
        <f>A_kirish!AQ30</f>
        <v/>
      </c>
      <c r="H30" s="9">
        <f>B_yakuniy!AQ30</f>
        <v/>
      </c>
      <c r="I30" s="9">
        <f>IF(OR(G30="",H30=""),"",IF(MATCH(H30,Darajalar!$A$2:$A$5,0)&lt;MATCH(G30,Darajalar!$A$2:$A$5,0),"↑",IF(MATCH(H30,Darajalar!$A$2:$A$5,0)=MATCH(G30,Darajalar!$A$2:$A$5,0),"=","↓")))</f>
        <v/>
      </c>
      <c r="J30" s="9">
        <f>IF(E30="","",IF(ABS(E30)&lt;=7,"o‘zgarishsiz (±2 savol)",IF(E30&gt;0,"o‘sdi","pasaydi")))</f>
        <v/>
      </c>
      <c r="K30" s="9">
        <f>A_kirish!AM30</f>
        <v/>
      </c>
      <c r="L30" s="9">
        <f>B_yakuniy!AM30</f>
        <v/>
      </c>
      <c r="M30" s="9">
        <f>A_kirish!AN30</f>
        <v/>
      </c>
      <c r="N30" s="9">
        <f>B_yakuniy!AN30</f>
        <v/>
      </c>
      <c r="O30" s="9">
        <f>Amaliy!J30</f>
        <v/>
      </c>
      <c r="P30" s="9">
        <f>Amaliy!R30</f>
        <v/>
      </c>
      <c r="Q30" s="9">
        <f>A_kirish!AT30</f>
        <v/>
      </c>
      <c r="R30" s="4" t="n"/>
      <c r="S30" s="4" t="n"/>
      <c r="U30" s="4" t="inlineStr">
        <is>
          <t>S1 Kompyuter qurilmalari va fayllar</t>
        </is>
      </c>
      <c r="V30" s="4">
        <f>IFERROR(ROUND(AVERAGE(A_kirish!AG6:AG40)/5*100,0),"")</f>
        <v/>
      </c>
      <c r="W30" s="4">
        <f>IFERROR(ROUND(AVERAGE(B_yakuniy!AG6:AG40)/5*100,0),"")</f>
        <v/>
      </c>
      <c r="X30" s="4">
        <f>IFERROR(IF(OR(V30="",W30=""),"",W30-V30),"")</f>
        <v/>
      </c>
    </row>
    <row r="31">
      <c r="A31" s="4" t="n">
        <v>26</v>
      </c>
      <c r="B31" s="4">
        <f>IF(Royxat!B27="","",Royxat!B27)</f>
        <v/>
      </c>
      <c r="C31" s="9">
        <f>A_kirish!AP31</f>
        <v/>
      </c>
      <c r="D31" s="9">
        <f>B_yakuniy!AP31</f>
        <v/>
      </c>
      <c r="E31" s="9">
        <f>IF(OR(C31="",D31=""),"",D31-C31)</f>
        <v/>
      </c>
      <c r="F31" s="9">
        <f>IF(OR(C31="",D31=""),"",IF(C31&gt;=100,"—",ROUND((D31-C31)/(100-C31),2)))</f>
        <v/>
      </c>
      <c r="G31" s="9">
        <f>A_kirish!AQ31</f>
        <v/>
      </c>
      <c r="H31" s="9">
        <f>B_yakuniy!AQ31</f>
        <v/>
      </c>
      <c r="I31" s="9">
        <f>IF(OR(G31="",H31=""),"",IF(MATCH(H31,Darajalar!$A$2:$A$5,0)&lt;MATCH(G31,Darajalar!$A$2:$A$5,0),"↑",IF(MATCH(H31,Darajalar!$A$2:$A$5,0)=MATCH(G31,Darajalar!$A$2:$A$5,0),"=","↓")))</f>
        <v/>
      </c>
      <c r="J31" s="9">
        <f>IF(E31="","",IF(ABS(E31)&lt;=7,"o‘zgarishsiz (±2 savol)",IF(E31&gt;0,"o‘sdi","pasaydi")))</f>
        <v/>
      </c>
      <c r="K31" s="9">
        <f>A_kirish!AM31</f>
        <v/>
      </c>
      <c r="L31" s="9">
        <f>B_yakuniy!AM31</f>
        <v/>
      </c>
      <c r="M31" s="9">
        <f>A_kirish!AN31</f>
        <v/>
      </c>
      <c r="N31" s="9">
        <f>B_yakuniy!AN31</f>
        <v/>
      </c>
      <c r="O31" s="9">
        <f>Amaliy!J31</f>
        <v/>
      </c>
      <c r="P31" s="9">
        <f>Amaliy!R31</f>
        <v/>
      </c>
      <c r="Q31" s="9">
        <f>A_kirish!AT31</f>
        <v/>
      </c>
      <c r="R31" s="4" t="n"/>
      <c r="S31" s="4" t="n"/>
      <c r="U31" s="4" t="inlineStr">
        <is>
          <t>S2 Matn muharriri (Word)</t>
        </is>
      </c>
      <c r="V31" s="4">
        <f>IFERROR(ROUND(AVERAGE(A_kirish!AH6:AH40)/5*100,0),"")</f>
        <v/>
      </c>
      <c r="W31" s="4">
        <f>IFERROR(ROUND(AVERAGE(B_yakuniy!AH6:AH40)/5*100,0),"")</f>
        <v/>
      </c>
      <c r="X31" s="4">
        <f>IFERROR(IF(OR(V31="",W31=""),"",W31-V31),"")</f>
        <v/>
      </c>
    </row>
    <row r="32">
      <c r="A32" s="4" t="n">
        <v>27</v>
      </c>
      <c r="B32" s="4">
        <f>IF(Royxat!B28="","",Royxat!B28)</f>
        <v/>
      </c>
      <c r="C32" s="9">
        <f>A_kirish!AP32</f>
        <v/>
      </c>
      <c r="D32" s="9">
        <f>B_yakuniy!AP32</f>
        <v/>
      </c>
      <c r="E32" s="9">
        <f>IF(OR(C32="",D32=""),"",D32-C32)</f>
        <v/>
      </c>
      <c r="F32" s="9">
        <f>IF(OR(C32="",D32=""),"",IF(C32&gt;=100,"—",ROUND((D32-C32)/(100-C32),2)))</f>
        <v/>
      </c>
      <c r="G32" s="9">
        <f>A_kirish!AQ32</f>
        <v/>
      </c>
      <c r="H32" s="9">
        <f>B_yakuniy!AQ32</f>
        <v/>
      </c>
      <c r="I32" s="9">
        <f>IF(OR(G32="",H32=""),"",IF(MATCH(H32,Darajalar!$A$2:$A$5,0)&lt;MATCH(G32,Darajalar!$A$2:$A$5,0),"↑",IF(MATCH(H32,Darajalar!$A$2:$A$5,0)=MATCH(G32,Darajalar!$A$2:$A$5,0),"=","↓")))</f>
        <v/>
      </c>
      <c r="J32" s="9">
        <f>IF(E32="","",IF(ABS(E32)&lt;=7,"o‘zgarishsiz (±2 savol)",IF(E32&gt;0,"o‘sdi","pasaydi")))</f>
        <v/>
      </c>
      <c r="K32" s="9">
        <f>A_kirish!AM32</f>
        <v/>
      </c>
      <c r="L32" s="9">
        <f>B_yakuniy!AM32</f>
        <v/>
      </c>
      <c r="M32" s="9">
        <f>A_kirish!AN32</f>
        <v/>
      </c>
      <c r="N32" s="9">
        <f>B_yakuniy!AN32</f>
        <v/>
      </c>
      <c r="O32" s="9">
        <f>Amaliy!J32</f>
        <v/>
      </c>
      <c r="P32" s="9">
        <f>Amaliy!R32</f>
        <v/>
      </c>
      <c r="Q32" s="9">
        <f>A_kirish!AT32</f>
        <v/>
      </c>
      <c r="R32" s="4" t="n"/>
      <c r="S32" s="4" t="n"/>
      <c r="U32" s="4" t="inlineStr">
        <is>
          <t>S3 Algoritm va mantiq (Scratch)</t>
        </is>
      </c>
      <c r="V32" s="4">
        <f>IFERROR(ROUND(AVERAGE(A_kirish!AI6:AI40)/5*100,0),"")</f>
        <v/>
      </c>
      <c r="W32" s="4">
        <f>IFERROR(ROUND(AVERAGE(B_yakuniy!AI6:AI40)/5*100,0),"")</f>
        <v/>
      </c>
      <c r="X32" s="4">
        <f>IFERROR(IF(OR(V32="",W32=""),"",W32-V32),"")</f>
        <v/>
      </c>
    </row>
    <row r="33">
      <c r="A33" s="4" t="n">
        <v>28</v>
      </c>
      <c r="B33" s="4">
        <f>IF(Royxat!B29="","",Royxat!B29)</f>
        <v/>
      </c>
      <c r="C33" s="9">
        <f>A_kirish!AP33</f>
        <v/>
      </c>
      <c r="D33" s="9">
        <f>B_yakuniy!AP33</f>
        <v/>
      </c>
      <c r="E33" s="9">
        <f>IF(OR(C33="",D33=""),"",D33-C33)</f>
        <v/>
      </c>
      <c r="F33" s="9">
        <f>IF(OR(C33="",D33=""),"",IF(C33&gt;=100,"—",ROUND((D33-C33)/(100-C33),2)))</f>
        <v/>
      </c>
      <c r="G33" s="9">
        <f>A_kirish!AQ33</f>
        <v/>
      </c>
      <c r="H33" s="9">
        <f>B_yakuniy!AQ33</f>
        <v/>
      </c>
      <c r="I33" s="9">
        <f>IF(OR(G33="",H33=""),"",IF(MATCH(H33,Darajalar!$A$2:$A$5,0)&lt;MATCH(G33,Darajalar!$A$2:$A$5,0),"↑",IF(MATCH(H33,Darajalar!$A$2:$A$5,0)=MATCH(G33,Darajalar!$A$2:$A$5,0),"=","↓")))</f>
        <v/>
      </c>
      <c r="J33" s="9">
        <f>IF(E33="","",IF(ABS(E33)&lt;=7,"o‘zgarishsiz (±2 savol)",IF(E33&gt;0,"o‘sdi","pasaydi")))</f>
        <v/>
      </c>
      <c r="K33" s="9">
        <f>A_kirish!AM33</f>
        <v/>
      </c>
      <c r="L33" s="9">
        <f>B_yakuniy!AM33</f>
        <v/>
      </c>
      <c r="M33" s="9">
        <f>A_kirish!AN33</f>
        <v/>
      </c>
      <c r="N33" s="9">
        <f>B_yakuniy!AN33</f>
        <v/>
      </c>
      <c r="O33" s="9">
        <f>Amaliy!J33</f>
        <v/>
      </c>
      <c r="P33" s="9">
        <f>Amaliy!R33</f>
        <v/>
      </c>
      <c r="Q33" s="9">
        <f>A_kirish!AT33</f>
        <v/>
      </c>
      <c r="R33" s="4" t="n"/>
      <c r="S33" s="4" t="n"/>
      <c r="U33" s="4" t="inlineStr">
        <is>
          <t>S4 Axborot va o‘lchov birliklari</t>
        </is>
      </c>
      <c r="V33" s="4">
        <f>IFERROR(ROUND(AVERAGE(A_kirish!AJ6:AJ40)/5*100,0),"")</f>
        <v/>
      </c>
      <c r="W33" s="4">
        <f>IFERROR(ROUND(AVERAGE(B_yakuniy!AJ6:AJ40)/5*100,0),"")</f>
        <v/>
      </c>
      <c r="X33" s="4">
        <f>IFERROR(IF(OR(V33="",W33=""),"",W33-V33),"")</f>
        <v/>
      </c>
    </row>
    <row r="34">
      <c r="A34" s="4" t="n">
        <v>29</v>
      </c>
      <c r="B34" s="4">
        <f>IF(Royxat!B30="","",Royxat!B30)</f>
        <v/>
      </c>
      <c r="C34" s="9">
        <f>A_kirish!AP34</f>
        <v/>
      </c>
      <c r="D34" s="9">
        <f>B_yakuniy!AP34</f>
        <v/>
      </c>
      <c r="E34" s="9">
        <f>IF(OR(C34="",D34=""),"",D34-C34)</f>
        <v/>
      </c>
      <c r="F34" s="9">
        <f>IF(OR(C34="",D34=""),"",IF(C34&gt;=100,"—",ROUND((D34-C34)/(100-C34),2)))</f>
        <v/>
      </c>
      <c r="G34" s="9">
        <f>A_kirish!AQ34</f>
        <v/>
      </c>
      <c r="H34" s="9">
        <f>B_yakuniy!AQ34</f>
        <v/>
      </c>
      <c r="I34" s="9">
        <f>IF(OR(G34="",H34=""),"",IF(MATCH(H34,Darajalar!$A$2:$A$5,0)&lt;MATCH(G34,Darajalar!$A$2:$A$5,0),"↑",IF(MATCH(H34,Darajalar!$A$2:$A$5,0)=MATCH(G34,Darajalar!$A$2:$A$5,0),"=","↓")))</f>
        <v/>
      </c>
      <c r="J34" s="9">
        <f>IF(E34="","",IF(ABS(E34)&lt;=7,"o‘zgarishsiz (±2 savol)",IF(E34&gt;0,"o‘sdi","pasaydi")))</f>
        <v/>
      </c>
      <c r="K34" s="9">
        <f>A_kirish!AM34</f>
        <v/>
      </c>
      <c r="L34" s="9">
        <f>B_yakuniy!AM34</f>
        <v/>
      </c>
      <c r="M34" s="9">
        <f>A_kirish!AN34</f>
        <v/>
      </c>
      <c r="N34" s="9">
        <f>B_yakuniy!AN34</f>
        <v/>
      </c>
      <c r="O34" s="9">
        <f>Amaliy!J34</f>
        <v/>
      </c>
      <c r="P34" s="9">
        <f>Amaliy!R34</f>
        <v/>
      </c>
      <c r="Q34" s="9">
        <f>A_kirish!AT34</f>
        <v/>
      </c>
      <c r="R34" s="4" t="n"/>
      <c r="S34" s="4" t="n"/>
      <c r="U34" s="4" t="inlineStr">
        <is>
          <t>S5 Sanoq sistemalari va kodlash</t>
        </is>
      </c>
      <c r="V34" s="4">
        <f>IFERROR(ROUND(AVERAGE(A_kirish!AK6:AK40)/5*100,0),"")</f>
        <v/>
      </c>
      <c r="W34" s="4">
        <f>IFERROR(ROUND(AVERAGE(B_yakuniy!AK6:AK40)/5*100,0),"")</f>
        <v/>
      </c>
      <c r="X34" s="4">
        <f>IFERROR(IF(OR(V34="",W34=""),"",W34-V34),"")</f>
        <v/>
      </c>
    </row>
    <row r="35">
      <c r="A35" s="4" t="n">
        <v>30</v>
      </c>
      <c r="B35" s="4">
        <f>IF(Royxat!B31="","",Royxat!B31)</f>
        <v/>
      </c>
      <c r="C35" s="9">
        <f>A_kirish!AP35</f>
        <v/>
      </c>
      <c r="D35" s="9">
        <f>B_yakuniy!AP35</f>
        <v/>
      </c>
      <c r="E35" s="9">
        <f>IF(OR(C35="",D35=""),"",D35-C35)</f>
        <v/>
      </c>
      <c r="F35" s="9">
        <f>IF(OR(C35="",D35=""),"",IF(C35&gt;=100,"—",ROUND((D35-C35)/(100-C35),2)))</f>
        <v/>
      </c>
      <c r="G35" s="9">
        <f>A_kirish!AQ35</f>
        <v/>
      </c>
      <c r="H35" s="9">
        <f>B_yakuniy!AQ35</f>
        <v/>
      </c>
      <c r="I35" s="9">
        <f>IF(OR(G35="",H35=""),"",IF(MATCH(H35,Darajalar!$A$2:$A$5,0)&lt;MATCH(G35,Darajalar!$A$2:$A$5,0),"↑",IF(MATCH(H35,Darajalar!$A$2:$A$5,0)=MATCH(G35,Darajalar!$A$2:$A$5,0),"=","↓")))</f>
        <v/>
      </c>
      <c r="J35" s="9">
        <f>IF(E35="","",IF(ABS(E35)&lt;=7,"o‘zgarishsiz (±2 savol)",IF(E35&gt;0,"o‘sdi","pasaydi")))</f>
        <v/>
      </c>
      <c r="K35" s="9">
        <f>A_kirish!AM35</f>
        <v/>
      </c>
      <c r="L35" s="9">
        <f>B_yakuniy!AM35</f>
        <v/>
      </c>
      <c r="M35" s="9">
        <f>A_kirish!AN35</f>
        <v/>
      </c>
      <c r="N35" s="9">
        <f>B_yakuniy!AN35</f>
        <v/>
      </c>
      <c r="O35" s="9">
        <f>Amaliy!J35</f>
        <v/>
      </c>
      <c r="P35" s="9">
        <f>Amaliy!R35</f>
        <v/>
      </c>
      <c r="Q35" s="9">
        <f>A_kirish!AT35</f>
        <v/>
      </c>
      <c r="R35" s="4" t="n"/>
      <c r="S35" s="4" t="n"/>
      <c r="U35" s="4" t="inlineStr">
        <is>
          <t>S6 Internet va axborot xavfsizligi</t>
        </is>
      </c>
      <c r="V35" s="4">
        <f>IFERROR(ROUND(AVERAGE(A_kirish!AL6:AL40)/5*100,0),"")</f>
        <v/>
      </c>
      <c r="W35" s="4">
        <f>IFERROR(ROUND(AVERAGE(B_yakuniy!AL6:AL40)/5*100,0),"")</f>
        <v/>
      </c>
      <c r="X35" s="4">
        <f>IFERROR(IF(OR(V35="",W35=""),"",W35-V35),"")</f>
        <v/>
      </c>
    </row>
    <row r="36">
      <c r="A36" s="4" t="n">
        <v>31</v>
      </c>
      <c r="B36" s="4">
        <f>IF(Royxat!B32="","",Royxat!B32)</f>
        <v/>
      </c>
      <c r="C36" s="9">
        <f>A_kirish!AP36</f>
        <v/>
      </c>
      <c r="D36" s="9">
        <f>B_yakuniy!AP36</f>
        <v/>
      </c>
      <c r="E36" s="9">
        <f>IF(OR(C36="",D36=""),"",D36-C36)</f>
        <v/>
      </c>
      <c r="F36" s="9">
        <f>IF(OR(C36="",D36=""),"",IF(C36&gt;=100,"—",ROUND((D36-C36)/(100-C36),2)))</f>
        <v/>
      </c>
      <c r="G36" s="9">
        <f>A_kirish!AQ36</f>
        <v/>
      </c>
      <c r="H36" s="9">
        <f>B_yakuniy!AQ36</f>
        <v/>
      </c>
      <c r="I36" s="9">
        <f>IF(OR(G36="",H36=""),"",IF(MATCH(H36,Darajalar!$A$2:$A$5,0)&lt;MATCH(G36,Darajalar!$A$2:$A$5,0),"↑",IF(MATCH(H36,Darajalar!$A$2:$A$5,0)=MATCH(G36,Darajalar!$A$2:$A$5,0),"=","↓")))</f>
        <v/>
      </c>
      <c r="J36" s="9">
        <f>IF(E36="","",IF(ABS(E36)&lt;=7,"o‘zgarishsiz (±2 savol)",IF(E36&gt;0,"o‘sdi","pasaydi")))</f>
        <v/>
      </c>
      <c r="K36" s="9">
        <f>A_kirish!AM36</f>
        <v/>
      </c>
      <c r="L36" s="9">
        <f>B_yakuniy!AM36</f>
        <v/>
      </c>
      <c r="M36" s="9">
        <f>A_kirish!AN36</f>
        <v/>
      </c>
      <c r="N36" s="9">
        <f>B_yakuniy!AN36</f>
        <v/>
      </c>
      <c r="O36" s="9">
        <f>Amaliy!J36</f>
        <v/>
      </c>
      <c r="P36" s="9">
        <f>Amaliy!R36</f>
        <v/>
      </c>
      <c r="Q36" s="9">
        <f>A_kirish!AT36</f>
        <v/>
      </c>
      <c r="R36" s="4" t="n"/>
      <c r="S36" s="4" t="n"/>
    </row>
    <row r="37">
      <c r="A37" s="4" t="n">
        <v>32</v>
      </c>
      <c r="B37" s="4">
        <f>IF(Royxat!B33="","",Royxat!B33)</f>
        <v/>
      </c>
      <c r="C37" s="9">
        <f>A_kirish!AP37</f>
        <v/>
      </c>
      <c r="D37" s="9">
        <f>B_yakuniy!AP37</f>
        <v/>
      </c>
      <c r="E37" s="9">
        <f>IF(OR(C37="",D37=""),"",D37-C37)</f>
        <v/>
      </c>
      <c r="F37" s="9">
        <f>IF(OR(C37="",D37=""),"",IF(C37&gt;=100,"—",ROUND((D37-C37)/(100-C37),2)))</f>
        <v/>
      </c>
      <c r="G37" s="9">
        <f>A_kirish!AQ37</f>
        <v/>
      </c>
      <c r="H37" s="9">
        <f>B_yakuniy!AQ37</f>
        <v/>
      </c>
      <c r="I37" s="9">
        <f>IF(OR(G37="",H37=""),"",IF(MATCH(H37,Darajalar!$A$2:$A$5,0)&lt;MATCH(G37,Darajalar!$A$2:$A$5,0),"↑",IF(MATCH(H37,Darajalar!$A$2:$A$5,0)=MATCH(G37,Darajalar!$A$2:$A$5,0),"=","↓")))</f>
        <v/>
      </c>
      <c r="J37" s="9">
        <f>IF(E37="","",IF(ABS(E37)&lt;=7,"o‘zgarishsiz (±2 savol)",IF(E37&gt;0,"o‘sdi","pasaydi")))</f>
        <v/>
      </c>
      <c r="K37" s="9">
        <f>A_kirish!AM37</f>
        <v/>
      </c>
      <c r="L37" s="9">
        <f>B_yakuniy!AM37</f>
        <v/>
      </c>
      <c r="M37" s="9">
        <f>A_kirish!AN37</f>
        <v/>
      </c>
      <c r="N37" s="9">
        <f>B_yakuniy!AN37</f>
        <v/>
      </c>
      <c r="O37" s="9">
        <f>Amaliy!J37</f>
        <v/>
      </c>
      <c r="P37" s="9">
        <f>Amaliy!R37</f>
        <v/>
      </c>
      <c r="Q37" s="9">
        <f>A_kirish!AT37</f>
        <v/>
      </c>
      <c r="R37" s="4" t="n"/>
      <c r="S37" s="4" t="n"/>
    </row>
    <row r="38">
      <c r="A38" s="4" t="n">
        <v>33</v>
      </c>
      <c r="B38" s="4">
        <f>IF(Royxat!B34="","",Royxat!B34)</f>
        <v/>
      </c>
      <c r="C38" s="9">
        <f>A_kirish!AP38</f>
        <v/>
      </c>
      <c r="D38" s="9">
        <f>B_yakuniy!AP38</f>
        <v/>
      </c>
      <c r="E38" s="9">
        <f>IF(OR(C38="",D38=""),"",D38-C38)</f>
        <v/>
      </c>
      <c r="F38" s="9">
        <f>IF(OR(C38="",D38=""),"",IF(C38&gt;=100,"—",ROUND((D38-C38)/(100-C38),2)))</f>
        <v/>
      </c>
      <c r="G38" s="9">
        <f>A_kirish!AQ38</f>
        <v/>
      </c>
      <c r="H38" s="9">
        <f>B_yakuniy!AQ38</f>
        <v/>
      </c>
      <c r="I38" s="9">
        <f>IF(OR(G38="",H38=""),"",IF(MATCH(H38,Darajalar!$A$2:$A$5,0)&lt;MATCH(G38,Darajalar!$A$2:$A$5,0),"↑",IF(MATCH(H38,Darajalar!$A$2:$A$5,0)=MATCH(G38,Darajalar!$A$2:$A$5,0),"=","↓")))</f>
        <v/>
      </c>
      <c r="J38" s="9">
        <f>IF(E38="","",IF(ABS(E38)&lt;=7,"o‘zgarishsiz (±2 savol)",IF(E38&gt;0,"o‘sdi","pasaydi")))</f>
        <v/>
      </c>
      <c r="K38" s="9">
        <f>A_kirish!AM38</f>
        <v/>
      </c>
      <c r="L38" s="9">
        <f>B_yakuniy!AM38</f>
        <v/>
      </c>
      <c r="M38" s="9">
        <f>A_kirish!AN38</f>
        <v/>
      </c>
      <c r="N38" s="9">
        <f>B_yakuniy!AN38</f>
        <v/>
      </c>
      <c r="O38" s="9">
        <f>Amaliy!J38</f>
        <v/>
      </c>
      <c r="P38" s="9">
        <f>Amaliy!R38</f>
        <v/>
      </c>
      <c r="Q38" s="9">
        <f>A_kirish!AT38</f>
        <v/>
      </c>
      <c r="R38" s="4" t="n"/>
      <c r="S38" s="4" t="n"/>
    </row>
    <row r="39">
      <c r="A39" s="4" t="n">
        <v>34</v>
      </c>
      <c r="B39" s="4">
        <f>IF(Royxat!B35="","",Royxat!B35)</f>
        <v/>
      </c>
      <c r="C39" s="9">
        <f>A_kirish!AP39</f>
        <v/>
      </c>
      <c r="D39" s="9">
        <f>B_yakuniy!AP39</f>
        <v/>
      </c>
      <c r="E39" s="9">
        <f>IF(OR(C39="",D39=""),"",D39-C39)</f>
        <v/>
      </c>
      <c r="F39" s="9">
        <f>IF(OR(C39="",D39=""),"",IF(C39&gt;=100,"—",ROUND((D39-C39)/(100-C39),2)))</f>
        <v/>
      </c>
      <c r="G39" s="9">
        <f>A_kirish!AQ39</f>
        <v/>
      </c>
      <c r="H39" s="9">
        <f>B_yakuniy!AQ39</f>
        <v/>
      </c>
      <c r="I39" s="9">
        <f>IF(OR(G39="",H39=""),"",IF(MATCH(H39,Darajalar!$A$2:$A$5,0)&lt;MATCH(G39,Darajalar!$A$2:$A$5,0),"↑",IF(MATCH(H39,Darajalar!$A$2:$A$5,0)=MATCH(G39,Darajalar!$A$2:$A$5,0),"=","↓")))</f>
        <v/>
      </c>
      <c r="J39" s="9">
        <f>IF(E39="","",IF(ABS(E39)&lt;=7,"o‘zgarishsiz (±2 savol)",IF(E39&gt;0,"o‘sdi","pasaydi")))</f>
        <v/>
      </c>
      <c r="K39" s="9">
        <f>A_kirish!AM39</f>
        <v/>
      </c>
      <c r="L39" s="9">
        <f>B_yakuniy!AM39</f>
        <v/>
      </c>
      <c r="M39" s="9">
        <f>A_kirish!AN39</f>
        <v/>
      </c>
      <c r="N39" s="9">
        <f>B_yakuniy!AN39</f>
        <v/>
      </c>
      <c r="O39" s="9">
        <f>Amaliy!J39</f>
        <v/>
      </c>
      <c r="P39" s="9">
        <f>Amaliy!R39</f>
        <v/>
      </c>
      <c r="Q39" s="9">
        <f>A_kirish!AT39</f>
        <v/>
      </c>
      <c r="R39" s="4" t="n"/>
      <c r="S39" s="4" t="n"/>
    </row>
    <row r="40">
      <c r="A40" s="4" t="n">
        <v>35</v>
      </c>
      <c r="B40" s="4">
        <f>IF(Royxat!B36="","",Royxat!B36)</f>
        <v/>
      </c>
      <c r="C40" s="9">
        <f>A_kirish!AP40</f>
        <v/>
      </c>
      <c r="D40" s="9">
        <f>B_yakuniy!AP40</f>
        <v/>
      </c>
      <c r="E40" s="9">
        <f>IF(OR(C40="",D40=""),"",D40-C40)</f>
        <v/>
      </c>
      <c r="F40" s="9">
        <f>IF(OR(C40="",D40=""),"",IF(C40&gt;=100,"—",ROUND((D40-C40)/(100-C40),2)))</f>
        <v/>
      </c>
      <c r="G40" s="9">
        <f>A_kirish!AQ40</f>
        <v/>
      </c>
      <c r="H40" s="9">
        <f>B_yakuniy!AQ40</f>
        <v/>
      </c>
      <c r="I40" s="9">
        <f>IF(OR(G40="",H40=""),"",IF(MATCH(H40,Darajalar!$A$2:$A$5,0)&lt;MATCH(G40,Darajalar!$A$2:$A$5,0),"↑",IF(MATCH(H40,Darajalar!$A$2:$A$5,0)=MATCH(G40,Darajalar!$A$2:$A$5,0),"=","↓")))</f>
        <v/>
      </c>
      <c r="J40" s="9">
        <f>IF(E40="","",IF(ABS(E40)&lt;=7,"o‘zgarishsiz (±2 savol)",IF(E40&gt;0,"o‘sdi","pasaydi")))</f>
        <v/>
      </c>
      <c r="K40" s="9">
        <f>A_kirish!AM40</f>
        <v/>
      </c>
      <c r="L40" s="9">
        <f>B_yakuniy!AM40</f>
        <v/>
      </c>
      <c r="M40" s="9">
        <f>A_kirish!AN40</f>
        <v/>
      </c>
      <c r="N40" s="9">
        <f>B_yakuniy!AN40</f>
        <v/>
      </c>
      <c r="O40" s="9">
        <f>Amaliy!J40</f>
        <v/>
      </c>
      <c r="P40" s="9">
        <f>Amaliy!R40</f>
        <v/>
      </c>
      <c r="Q40" s="9">
        <f>A_kirish!AT40</f>
        <v/>
      </c>
      <c r="R40" s="4" t="n"/>
      <c r="S40" s="4" t="n"/>
    </row>
  </sheetData>
  <conditionalFormatting sqref="G6:H40">
    <cfRule type="cellIs" priority="1" operator="equal" dxfId="1">
      <formula>"Yuqori"</formula>
    </cfRule>
    <cfRule type="cellIs" priority="2" operator="equal" dxfId="2">
      <formula>"Yaxshi"</formula>
    </cfRule>
    <cfRule type="cellIs" priority="3" operator="equal" dxfId="3">
      <formula>"O‘rta"</formula>
    </cfRule>
    <cfRule type="cellIs" priority="4" operator="equal" dxfId="0">
      <formula>"Boshlang‘ich"</formula>
    </cfRule>
  </conditionalFormatting>
  <conditionalFormatting sqref="I6:I40">
    <cfRule type="cellIs" priority="5" operator="equal" dxfId="1">
      <formula>"↑"</formula>
    </cfRule>
    <cfRule type="cellIs" priority="6" operator="equal" dxfId="4">
      <formula>"="</formula>
    </cfRule>
    <cfRule type="cellIs" priority="7" operator="equal" dxfId="0">
      <formula>"↓"</formula>
    </cfRule>
  </conditionalFormatting>
  <conditionalFormatting sqref="Q6:Q40">
    <cfRule type="cellIs" priority="8" operator="equal" dxfId="1">
      <formula>"Ilg‘or"</formula>
    </cfRule>
    <cfRule type="cellIs" priority="9" operator="equal" dxfId="2">
      <formula>"Asosiy"</formula>
    </cfRule>
    <cfRule type="cellIs" priority="10" operator="equal" dxfId="0">
      <formula>"Yordam"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7A — kompyuter xonasidagi o‘tirish xaritasi (2 hafta o‘zgarmaydi). Har katakka ism va 1 ta belgi (qiziqish) yozing.</t>
        </is>
      </c>
    </row>
    <row r="3">
      <c r="B3" s="14" t="inlineStr">
        <is>
          <t>DOSKA / USTOZ STOLI</t>
        </is>
      </c>
    </row>
    <row r="5">
      <c r="B5" s="15" t="inlineStr">
        <is>
          <t>Komp. №1</t>
        </is>
      </c>
      <c r="C5" s="4" t="n"/>
      <c r="D5" s="15" t="inlineStr">
        <is>
          <t>Komp. №2</t>
        </is>
      </c>
      <c r="E5" s="4" t="n"/>
      <c r="F5" s="15" t="inlineStr">
        <is>
          <t>Komp. №3</t>
        </is>
      </c>
      <c r="G5" s="4" t="n"/>
      <c r="H5" s="15" t="inlineStr">
        <is>
          <t>Komp. №4</t>
        </is>
      </c>
      <c r="I5" s="4" t="n"/>
      <c r="J5" s="15" t="inlineStr">
        <is>
          <t>Komp. №5</t>
        </is>
      </c>
      <c r="K5" s="4" t="n"/>
    </row>
    <row r="6">
      <c r="B6" s="16" t="n"/>
      <c r="C6" s="4" t="n"/>
      <c r="D6" s="16" t="n"/>
      <c r="E6" s="4" t="n"/>
      <c r="F6" s="16" t="n"/>
      <c r="G6" s="4" t="n"/>
      <c r="H6" s="16" t="n"/>
      <c r="I6" s="4" t="n"/>
      <c r="J6" s="16" t="n"/>
      <c r="K6" s="4" t="n"/>
    </row>
    <row r="7"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9">
      <c r="B9" s="15" t="inlineStr">
        <is>
          <t>Komp. №6</t>
        </is>
      </c>
      <c r="C9" s="4" t="n"/>
      <c r="D9" s="15" t="inlineStr">
        <is>
          <t>Komp. №7</t>
        </is>
      </c>
      <c r="E9" s="4" t="n"/>
      <c r="F9" s="15" t="inlineStr">
        <is>
          <t>Komp. №8</t>
        </is>
      </c>
      <c r="G9" s="4" t="n"/>
      <c r="H9" s="15" t="inlineStr">
        <is>
          <t>Komp. №9</t>
        </is>
      </c>
      <c r="I9" s="4" t="n"/>
      <c r="J9" s="15" t="inlineStr">
        <is>
          <t>Komp. №10</t>
        </is>
      </c>
      <c r="K9" s="4" t="n"/>
    </row>
    <row r="10">
      <c r="B10" s="16" t="n"/>
      <c r="C10" s="4" t="n"/>
      <c r="D10" s="16" t="n"/>
      <c r="E10" s="4" t="n"/>
      <c r="F10" s="16" t="n"/>
      <c r="G10" s="4" t="n"/>
      <c r="H10" s="16" t="n"/>
      <c r="I10" s="4" t="n"/>
      <c r="J10" s="16" t="n"/>
      <c r="K10" s="4" t="n"/>
    </row>
    <row r="11"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3">
      <c r="B13" s="15" t="inlineStr">
        <is>
          <t>Komp. №11</t>
        </is>
      </c>
      <c r="C13" s="4" t="n"/>
      <c r="D13" s="15" t="inlineStr">
        <is>
          <t>Komp. №12</t>
        </is>
      </c>
      <c r="E13" s="4" t="n"/>
      <c r="F13" s="15" t="inlineStr">
        <is>
          <t>Komp. №13</t>
        </is>
      </c>
      <c r="G13" s="4" t="n"/>
      <c r="H13" s="15" t="inlineStr">
        <is>
          <t>Komp. №14</t>
        </is>
      </c>
      <c r="I13" s="4" t="n"/>
      <c r="J13" s="15" t="inlineStr">
        <is>
          <t>Komp. №15</t>
        </is>
      </c>
      <c r="K13" s="4" t="n"/>
    </row>
    <row r="14">
      <c r="B14" s="16" t="n"/>
      <c r="C14" s="4" t="n"/>
      <c r="D14" s="16" t="n"/>
      <c r="E14" s="4" t="n"/>
      <c r="F14" s="16" t="n"/>
      <c r="G14" s="4" t="n"/>
      <c r="H14" s="16" t="n"/>
      <c r="I14" s="4" t="n"/>
      <c r="J14" s="16" t="n"/>
      <c r="K14" s="4" t="n"/>
    </row>
    <row r="15"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7">
      <c r="B17" s="15" t="inlineStr">
        <is>
          <t>Komp. №16</t>
        </is>
      </c>
      <c r="C17" s="4" t="n"/>
      <c r="D17" s="15" t="inlineStr">
        <is>
          <t>Komp. №17</t>
        </is>
      </c>
      <c r="E17" s="4" t="n"/>
      <c r="F17" s="15" t="inlineStr">
        <is>
          <t>Komp. №18</t>
        </is>
      </c>
      <c r="G17" s="4" t="n"/>
      <c r="H17" s="15" t="inlineStr">
        <is>
          <t>Komp. №19</t>
        </is>
      </c>
      <c r="I17" s="4" t="n"/>
      <c r="J17" s="15" t="inlineStr">
        <is>
          <t>Komp. №20</t>
        </is>
      </c>
      <c r="K17" s="4" t="n"/>
    </row>
    <row r="18">
      <c r="B18" s="16" t="n"/>
      <c r="C18" s="4" t="n"/>
      <c r="D18" s="16" t="n"/>
      <c r="E18" s="4" t="n"/>
      <c r="F18" s="16" t="n"/>
      <c r="G18" s="4" t="n"/>
      <c r="H18" s="16" t="n"/>
      <c r="I18" s="4" t="n"/>
      <c r="J18" s="16" t="n"/>
      <c r="K18" s="4" t="n"/>
    </row>
    <row r="19"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1">
      <c r="B21" s="15" t="inlineStr">
        <is>
          <t>Komp. №21</t>
        </is>
      </c>
      <c r="C21" s="4" t="n"/>
      <c r="D21" s="15" t="inlineStr">
        <is>
          <t>Komp. №22</t>
        </is>
      </c>
      <c r="E21" s="4" t="n"/>
      <c r="F21" s="15" t="inlineStr">
        <is>
          <t>Komp. №23</t>
        </is>
      </c>
      <c r="G21" s="4" t="n"/>
      <c r="H21" s="15" t="inlineStr">
        <is>
          <t>Komp. №24</t>
        </is>
      </c>
      <c r="I21" s="4" t="n"/>
      <c r="J21" s="15" t="inlineStr">
        <is>
          <t>Komp. №25</t>
        </is>
      </c>
      <c r="K21" s="4" t="n"/>
    </row>
    <row r="22">
      <c r="B22" s="16" t="n"/>
      <c r="C22" s="4" t="n"/>
      <c r="D22" s="16" t="n"/>
      <c r="E22" s="4" t="n"/>
      <c r="F22" s="16" t="n"/>
      <c r="G22" s="4" t="n"/>
      <c r="H22" s="16" t="n"/>
      <c r="I22" s="4" t="n"/>
      <c r="J22" s="16" t="n"/>
      <c r="K22" s="4" t="n"/>
    </row>
    <row r="23"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5">
      <c r="B25" s="15" t="inlineStr">
        <is>
          <t>Komp. №26</t>
        </is>
      </c>
      <c r="C25" s="4" t="n"/>
      <c r="D25" s="15" t="inlineStr">
        <is>
          <t>Komp. №27</t>
        </is>
      </c>
      <c r="E25" s="4" t="n"/>
      <c r="F25" s="15" t="inlineStr">
        <is>
          <t>Komp. №28</t>
        </is>
      </c>
      <c r="G25" s="4" t="n"/>
      <c r="H25" s="15" t="inlineStr">
        <is>
          <t>Komp. №29</t>
        </is>
      </c>
      <c r="I25" s="4" t="n"/>
      <c r="J25" s="15" t="inlineStr">
        <is>
          <t>Komp. №30</t>
        </is>
      </c>
      <c r="K25" s="4" t="n"/>
    </row>
    <row r="26">
      <c r="B26" s="16" t="n"/>
      <c r="C26" s="4" t="n"/>
      <c r="D26" s="16" t="n"/>
      <c r="E26" s="4" t="n"/>
      <c r="F26" s="16" t="n"/>
      <c r="G26" s="4" t="n"/>
      <c r="H26" s="16" t="n"/>
      <c r="I26" s="4" t="n"/>
      <c r="J26" s="16" t="n"/>
      <c r="K26" s="4" t="n"/>
    </row>
    <row r="27"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</sheetData>
  <mergeCells count="91">
    <mergeCell ref="H10:I10"/>
    <mergeCell ref="F25:G25"/>
    <mergeCell ref="J10:K10"/>
    <mergeCell ref="J19:K19"/>
    <mergeCell ref="B22:C22"/>
    <mergeCell ref="D22:E22"/>
    <mergeCell ref="H9:I9"/>
    <mergeCell ref="J9:K9"/>
    <mergeCell ref="D6:E6"/>
    <mergeCell ref="B21:C21"/>
    <mergeCell ref="F15:G15"/>
    <mergeCell ref="D13:E13"/>
    <mergeCell ref="B14:C14"/>
    <mergeCell ref="B13:C13"/>
    <mergeCell ref="D7:E7"/>
    <mergeCell ref="F23:G23"/>
    <mergeCell ref="F13:G13"/>
    <mergeCell ref="H13:I13"/>
    <mergeCell ref="J21:K21"/>
    <mergeCell ref="H15:I15"/>
    <mergeCell ref="H23:I23"/>
    <mergeCell ref="J23:K23"/>
    <mergeCell ref="B26:C26"/>
    <mergeCell ref="D26:E26"/>
    <mergeCell ref="D10:E10"/>
    <mergeCell ref="B25:C25"/>
    <mergeCell ref="F10:G10"/>
    <mergeCell ref="D19:E19"/>
    <mergeCell ref="F19:G19"/>
    <mergeCell ref="F6:G6"/>
    <mergeCell ref="B18:C18"/>
    <mergeCell ref="B27:C27"/>
    <mergeCell ref="H25:I25"/>
    <mergeCell ref="B11:C11"/>
    <mergeCell ref="D11:E11"/>
    <mergeCell ref="F5:G5"/>
    <mergeCell ref="F18:G18"/>
    <mergeCell ref="J27:K27"/>
    <mergeCell ref="F17:G17"/>
    <mergeCell ref="H17:I17"/>
    <mergeCell ref="H11:I11"/>
    <mergeCell ref="J11:K11"/>
    <mergeCell ref="H19:I19"/>
    <mergeCell ref="J22:K22"/>
    <mergeCell ref="D9:E9"/>
    <mergeCell ref="F9:G9"/>
    <mergeCell ref="B6:C6"/>
    <mergeCell ref="B15:C15"/>
    <mergeCell ref="D15:E15"/>
    <mergeCell ref="D23:E23"/>
    <mergeCell ref="H5:I5"/>
    <mergeCell ref="H14:I14"/>
    <mergeCell ref="B7:C7"/>
    <mergeCell ref="F7:G7"/>
    <mergeCell ref="F21:G21"/>
    <mergeCell ref="H21:I21"/>
    <mergeCell ref="D27:E27"/>
    <mergeCell ref="B17:C17"/>
    <mergeCell ref="D17:E17"/>
    <mergeCell ref="J26:K26"/>
    <mergeCell ref="B19:C19"/>
    <mergeCell ref="J25:K25"/>
    <mergeCell ref="F22:G22"/>
    <mergeCell ref="H22:I22"/>
    <mergeCell ref="B9:C9"/>
    <mergeCell ref="D25:E25"/>
    <mergeCell ref="B5:C5"/>
    <mergeCell ref="D5:E5"/>
    <mergeCell ref="D14:E14"/>
    <mergeCell ref="F14:G14"/>
    <mergeCell ref="F11:G11"/>
    <mergeCell ref="J5:K5"/>
    <mergeCell ref="J14:K14"/>
    <mergeCell ref="J13:K13"/>
    <mergeCell ref="D21:E21"/>
    <mergeCell ref="H6:I6"/>
    <mergeCell ref="J6:K6"/>
    <mergeCell ref="J15:K15"/>
    <mergeCell ref="B23:C23"/>
    <mergeCell ref="F26:G26"/>
    <mergeCell ref="B3:K3"/>
    <mergeCell ref="H7:I7"/>
    <mergeCell ref="J7:K7"/>
    <mergeCell ref="B10:C10"/>
    <mergeCell ref="D18:E18"/>
    <mergeCell ref="F27:G27"/>
    <mergeCell ref="H27:I27"/>
    <mergeCell ref="H18:I18"/>
    <mergeCell ref="J18:K18"/>
    <mergeCell ref="J17:K17"/>
    <mergeCell ref="H26:I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0" customWidth="1" min="3" max="3"/>
    <col width="44" customWidth="1" min="4" max="4"/>
  </cols>
  <sheetData>
    <row r="1">
      <c r="A1" s="3" t="inlineStr">
        <is>
          <t>Daraja</t>
        </is>
      </c>
      <c r="B1" s="3" t="inlineStr">
        <is>
          <t>Quyi chegara (%)</t>
        </is>
      </c>
      <c r="C1" s="3" t="inlineStr">
        <is>
          <t>10 ballik</t>
        </is>
      </c>
      <c r="D1" s="3" t="inlineStr">
        <is>
          <t>Ma’nosi</t>
        </is>
      </c>
    </row>
    <row r="2">
      <c r="A2" s="17" t="inlineStr">
        <is>
          <t>Yuqori</t>
        </is>
      </c>
      <c r="B2" t="n">
        <v>85</v>
      </c>
      <c r="C2" t="inlineStr">
        <is>
          <t>9–10</t>
        </is>
      </c>
      <c r="D2" t="inlineStr">
        <is>
          <t>Mavzuni to‘liq biladi</t>
        </is>
      </c>
    </row>
    <row r="3">
      <c r="A3" s="18" t="inlineStr">
        <is>
          <t>Yaxshi</t>
        </is>
      </c>
      <c r="B3" t="n">
        <v>65</v>
      </c>
      <c r="C3" t="inlineStr">
        <is>
          <t>7–8</t>
        </is>
      </c>
      <c r="D3" t="inlineStr">
        <is>
          <t>Asosiy narsalarni biladi, kichik bo‘shliqlar</t>
        </is>
      </c>
    </row>
    <row r="4">
      <c r="A4" s="19" t="inlineStr">
        <is>
          <t>O‘rta</t>
        </is>
      </c>
      <c r="B4" t="n">
        <v>45</v>
      </c>
      <c r="C4" t="inlineStr">
        <is>
          <t>5–6</t>
        </is>
      </c>
      <c r="D4" t="inlineStr">
        <is>
          <t>Yarmini biladi, yordam kerak</t>
        </is>
      </c>
    </row>
    <row r="5">
      <c r="A5" s="20" t="inlineStr">
        <is>
          <t>Boshlang‘ich</t>
        </is>
      </c>
      <c r="B5" t="n">
        <v>0</v>
      </c>
      <c r="C5" t="inlineStr">
        <is>
          <t>0–4</t>
        </is>
      </c>
      <c r="D5" t="inlineStr">
        <is>
          <t>Tayanch bilimlar yetishmaydi</t>
        </is>
      </c>
    </row>
    <row r="8">
      <c r="A8" s="2" t="inlineStr">
        <is>
          <t>7-sinfga moslik (Tayanch % bo‘yicha):</t>
        </is>
      </c>
    </row>
    <row r="9">
      <c r="A9" s="21" t="inlineStr">
        <is>
          <t>Mos</t>
        </is>
      </c>
      <c r="B9" t="inlineStr">
        <is>
          <t>Tayanch % ≥ «Yaxshi» chegarasi (65)</t>
        </is>
      </c>
    </row>
    <row r="10">
      <c r="A10" s="21" t="inlineStr">
        <is>
          <t>Qisman mos</t>
        </is>
      </c>
      <c r="B10" t="inlineStr">
        <is>
          <t>Tayanch % ≥ «O‘rta» chegarasi (45)</t>
        </is>
      </c>
    </row>
    <row r="11">
      <c r="A11" s="21" t="inlineStr">
        <is>
          <t>Mos emas</t>
        </is>
      </c>
      <c r="B11" t="inlineStr">
        <is>
          <t>Tayanch % &lt; 45</t>
        </is>
      </c>
    </row>
    <row r="12">
      <c r="A12" s="2" t="inlineStr"/>
    </row>
    <row r="13">
      <c r="A13" s="2" t="inlineStr">
        <is>
          <t>Normallashtirilgan o‘sish g = (B% − A%) / (100 − A%):</t>
        </is>
      </c>
    </row>
    <row r="14">
      <c r="A14" s="21" t="inlineStr">
        <is>
          <t>≥ 0,7</t>
        </is>
      </c>
      <c r="B14" t="inlineStr">
        <is>
          <t>Yuqori o‘sish</t>
        </is>
      </c>
    </row>
    <row r="15">
      <c r="A15" s="21" t="inlineStr">
        <is>
          <t>0,3 – 0,69</t>
        </is>
      </c>
      <c r="B15" t="inlineStr">
        <is>
          <t>O‘rtacha o‘sish (normal)</t>
        </is>
      </c>
    </row>
    <row r="16">
      <c r="A16" s="21" t="inlineStr">
        <is>
          <t>0 – 0,29</t>
        </is>
      </c>
      <c r="B16" t="inlineStr">
        <is>
          <t>Past o‘sish</t>
        </is>
      </c>
    </row>
    <row r="17">
      <c r="A17" s="21" t="inlineStr">
        <is>
          <t>&lt; 0</t>
        </is>
      </c>
      <c r="B17" t="inlineStr">
        <is>
          <t>Pasaygan — alohida tahlil kerak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2026-10-11T19:13:42Z</dcterms:created>
  <dcterms:modified xmlns:dcterms="http://purl.org/dc/terms/" xmlns:xsi="http://www.w3.org/2001/XMLSchema-instance" xsi:type="dcterms:W3CDTF">2026-10-11T19:13:42Z</dcterms:modified>
</cp:coreProperties>
</file>